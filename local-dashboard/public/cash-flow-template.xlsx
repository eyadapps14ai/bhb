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2eae4d8a6141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60ed4d8f708412b"/>
    <x:sheet xmlns:r="http://schemas.openxmlformats.org/officeDocument/2006/relationships" name="Data &amp; Targets" sheetId="2" r:id="Rbbdd71700f1c4168"/>
    <x:sheet xmlns:r="http://schemas.openxmlformats.org/officeDocument/2006/relationships" name="_Chart Helpers" sheetId="3" r:id="Rd5555b5c74bc41bc"/>
    <x:sheet xmlns:r="http://schemas.openxmlformats.org/officeDocument/2006/relationships" name="Incoming Checks" sheetId="4" r:id="Rb757aa966e9543c4"/>
    <x:sheet xmlns:r="http://schemas.openxmlformats.org/officeDocument/2006/relationships" name="Expenses" sheetId="5" r:id="Rf0cb0ff1b8b640c9"/>
  </x:sheets>
</x:workbook>
</file>

<file path=xl/sharedStrings.xml><?xml version="1.0" encoding="utf-8"?>
<x:sst xmlns:x="http://schemas.openxmlformats.org/spreadsheetml/2006/main">
  <x:si>
    <x:t xml:space="preserve">SELECTED REPORTING PERIOD</x:t>
  </x:si>
  <x:si>
    <x:t xml:space="preserve">DATA CURRENT THROUGH</x:t>
  </x:si>
  <x:si>
    <x:t xml:space="preserve">ACTIVE USERS</x:t>
  </x:si>
  <x:si>
    <x:t xml:space="preserve">NEW USERS</x:t>
  </x:si>
  <x:si>
    <x:t xml:space="preserve">30-DAY RETENTION</x:t>
  </x:si>
  <x:si>
    <x:t xml:space="preserve">TRIAL-TO-PAID</x:t>
  </x:si>
  <x:si>
    <x:t xml:space="preserve">SESSIONS / USER</x:t>
  </x:si>
  <x:si>
    <x:t xml:space="preserve">MONTHLY RECURRING REVENUE</x:t>
  </x:si>
  <x:si>
    <x:t xml:space="preserve">BOUNCE RATE</x:t>
  </x:si>
  <x:si>
    <x:t xml:space="preserve">MRR / ACTIVE USER</x:t>
  </x:si>
  <x:si>
    <x:t xml:space="preserve">ACTIVE USERS — ACTUAL VS TARGET</x:t>
  </x:si>
  <x:si>
    <x:t xml:space="preserve">MRR — ACTUAL VS TARGET</x:t>
  </x:si>
  <x:si>
    <x:t xml:space="preserve">CONVERSION FUNNEL — SELECTED PERIOD</x:t>
  </x:si>
  <x:si>
    <x:t xml:space="preserve">MRR MIX BY SEGMENT</x:t>
  </x:si>
  <x:si>
    <x:t xml:space="preserve">SELECTED-PERIOD VARIANCE</x:t>
  </x:si>
  <x:si>
    <x:t xml:space="preserve">Status is direction-aware: most metrics favor higher results, while Bounce Rate explicitly favors lower results. Watch thresholds are within 5% of target.</x:t>
  </x:si>
  <x:si>
    <x:t xml:space="preserve">Synthetic illustrative data for template use.</x:t>
  </x:si>
</x:sst>
</file>

<file path=xl/styles.xml><?xml version="1.0" encoding="utf-8"?>
<x:styleSheet xmlns:x="http://schemas.openxmlformats.org/spreadsheetml/2006/main">
  <x:numFmts count="12">
    <x:numFmt numFmtId="164" formatCode="mmm\ yyyy"/>
    <x:numFmt numFmtId="165" formatCode="#,##0;[Red]\(#,##0\);\-"/>
    <x:numFmt numFmtId="166" formatCode="0.0%;[Red]\(0.0%\);\-"/>
    <x:numFmt numFmtId="167" formatCode="#,##0.0;[Red]\(#,##0.0\);\-"/>
    <x:numFmt numFmtId="168" formatCode="\$#,##0;[Red]\(\$#,##0\);\-"/>
    <x:numFmt numFmtId="169" formatCode="0.0\x"/>
    <x:numFmt numFmtId="170" formatCode="\$#,##0.0;[Red]\(\$#,##0.0\);\-"/>
    <x:numFmt numFmtId="171" formatCode="\+0.0%;\-0.0%;\-"/>
    <x:numFmt numFmtId="200" formatCode="dd-mmm-yyyy"/>
    <x:numFmt numFmtId="201" formatCode="&quot;AED &quot;#,##0;(&quot;AED &quot;#,##0);&quot;–&quot;"/>
    <x:numFmt numFmtId="202" formatCode="#,##0"/>
    <x:numFmt numFmtId="203" formatCode="mmm-yyyy"/>
  </x:numFmts>
  <x:fonts count="26">
    <x:font>
      <x:sz val="11"/>
      <x:name val="Arial"/>
    </x:font>
    <x:font>
      <x:b/>
      <x:sz val="14"/>
      <x:color rgb="FFFFFFFF"/>
      <x:name val="Arial"/>
    </x:font>
    <x:font>
      <x:b/>
      <x:sz val="10"/>
      <x:color rgb="FFD9E2EA"/>
      <x:name val="Arial"/>
    </x:font>
    <x:font>
      <x:b/>
      <x:sz val="10"/>
      <x:color rgb="FFFFFFFF"/>
      <x:name val="Arial"/>
    </x:font>
    <x:font>
      <x:sz val="9"/>
      <x:color rgb="FF17212B"/>
      <x:name val="Arial"/>
    </x:font>
    <x:font>
      <x:b/>
      <x:sz val="9"/>
      <x:color rgb="FFFFFFFF"/>
      <x:name val="Arial"/>
    </x:font>
    <x:font>
      <x:sz val="9"/>
      <x:color rgb="FFFFFFFF"/>
      <x:name val="Arial"/>
    </x:font>
    <x:font>
      <x:b/>
      <x:sz val="8"/>
      <x:color rgb="FFA7B4C2"/>
      <x:name val="Arial"/>
    </x:font>
    <x:font>
      <x:b/>
      <x:sz val="11"/>
      <x:color rgb="FFFFFFFF"/>
      <x:name val="Arial"/>
    </x:font>
    <x:font>
      <x:i/>
      <x:sz val="8"/>
      <x:color rgb="FFA7B4C2"/>
      <x:name val="Arial"/>
    </x:font>
    <x:font>
      <x:b/>
      <x:sz val="9"/>
      <x:color rgb="FFA7B4C2"/>
      <x:name val="Arial"/>
    </x:font>
    <x:font>
      <x:b/>
      <x:sz val="25"/>
      <x:color rgb="FFFFFFFF"/>
      <x:name val="Arial"/>
    </x:font>
    <x:font>
      <x:b/>
      <x:sz val="9"/>
      <x:color rgb="FF43D3FF"/>
      <x:name val="Arial"/>
    </x:font>
    <x:font>
      <x:sz val="8"/>
      <x:color rgb="FFA7B4C2"/>
      <x:name val="Arial"/>
    </x:font>
    <x:font>
      <x:sz val="9"/>
      <x:color rgb="FFA7B4C2"/>
      <x:name val="Arial"/>
    </x:font>
    <x:font>
      <x:i/>
      <x:sz val="9"/>
      <x:color rgb="FFA7B4C2"/>
      <x:name val="Arial"/>
    </x:font>
    <x:font>
      <x:sz val="11"/>
      <x:name val="Arial"/>
    </x:font>
    <x:font>
      <x:b/>
      <x:sz val="9"/>
      <x:color rgb="FF000000"/>
      <x:name val="Arial"/>
    </x:font>
    <x:font>
      <x:sz val="9"/>
      <x:color rgb="FF0000FF"/>
      <x:name val="Arial"/>
    </x:font>
    <x:font>
      <x:i/>
      <x:sz val="10"/>
      <x:color rgb="FFD9E2EA"/>
      <x:name val="Arial"/>
    </x:font>
    <x:font>
      <x:sz val="11"/>
      <x:color rgb="FF172B3E"/>
      <x:name val="Arial"/>
    </x:font>
    <x:font>
      <x:b/>
      <x:sz val="16"/>
      <x:color rgb="FF172B3E"/>
      <x:name val="Arial"/>
    </x:font>
    <x:font>
      <x:b/>
      <x:sz val="24"/>
      <x:color rgb="FFFFFFFF"/>
      <x:name val="Arial"/>
    </x:font>
    <x:font>
      <x:b/>
      <x:sz val="9"/>
      <x:color rgb="FF0000FF"/>
      <x:name val="Arial"/>
    </x:font>
    <x:font>
      <x:sz val="9"/>
      <x:color rgb="FF008000"/>
      <x:name val="Arial"/>
    </x:font>
    <x:font>
      <x:sz val="11"/>
      <x:color rgb="FFFFFFFF"/>
      <x:name val="Arial"/>
    </x:font>
  </x:fonts>
  <x:fills count="1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5313C"/>
      </x:patternFill>
    </x:fill>
    <x:fill>
      <x:patternFill patternType="solid">
        <x:fgColor rgb="FFF3F5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244A6B"/>
      </x:patternFill>
    </x:fill>
    <x:fill>
      <x:patternFill patternType="solid">
        <x:fgColor rgb="FF0D1B2A"/>
      </x:patternFill>
    </x:fill>
    <x:fill>
      <x:patternFill patternType="solid">
        <x:fgColor rgb="FF19324A"/>
      </x:patternFill>
    </x:fill>
    <x:fill>
      <x:patternFill patternType="solid">
        <x:fgColor rgb="FF14263A"/>
      </x:patternFill>
    </x:fill>
    <x:fill>
      <x:patternFill patternType="solid">
        <x:fgColor rgb="FF223B53"/>
      </x:patternFill>
    </x:fill>
    <x:fill>
      <x:patternFill patternType="solid">
        <x:fgColor rgb="FF0D1B2A"/>
      </x:patternFill>
    </x:fill>
    <x:fill>
      <x:patternFill patternType="solid">
        <x:fgColor rgb="FFE7EDF3"/>
      </x:patternFill>
    </x:fill>
    <x:fill>
      <x:patternFill patternType="solid">
        <x:fgColor rgb="FF1B354D"/>
      </x:patternFill>
    </x:fill>
    <x:fill>
      <x:patternFill patternType="solid">
        <x:fgColor rgb="FFFFF2CC"/>
      </x:patternFill>
    </x:fill>
  </x:fills>
  <x:borders count="14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31506B"/>
      </x:left>
      <x:top style="thin">
        <x:color rgb="FF31506B"/>
      </x:top>
      <x:bottom style="thin">
        <x:color rgb="FF31506B"/>
      </x:bottom>
    </x:border>
    <x:border>
      <x:top style="thin">
        <x:color rgb="FF31506B"/>
      </x:top>
      <x:bottom style="thin">
        <x:color rgb="FF31506B"/>
      </x:bottom>
    </x:border>
    <x:border>
      <x:right style="thin">
        <x:color rgb="FF31506B"/>
      </x:right>
      <x:top style="thin">
        <x:color rgb="FF31506B"/>
      </x:top>
      <x:bottom style="thin">
        <x:color rgb="FF31506B"/>
      </x:bottom>
    </x:border>
    <x:border>
      <x:left style="thin">
        <x:color rgb="FF31506B"/>
      </x:left>
      <x:top style="thin">
        <x:color rgb="FF31506B"/>
      </x:top>
    </x:border>
    <x:border>
      <x:top style="thin">
        <x:color rgb="FF31506B"/>
      </x:top>
    </x:border>
    <x:border>
      <x:right style="thin">
        <x:color rgb="FF31506B"/>
      </x:right>
      <x:top style="thin">
        <x:color rgb="FF31506B"/>
      </x:top>
    </x:border>
    <x:border>
      <x:left style="thin">
        <x:color rgb="FF31506B"/>
      </x:left>
    </x:border>
    <x:border>
      <x:right style="thin">
        <x:color rgb="FF31506B"/>
      </x:right>
    </x:border>
    <x:border>
      <x:left style="thin">
        <x:color rgb="FF31506B"/>
      </x:left>
      <x:bottom style="thin">
        <x:color rgb="FF31506B"/>
      </x:bottom>
    </x:border>
    <x:border>
      <x:bottom style="thin">
        <x:color rgb="FF31506B"/>
      </x:bottom>
    </x:border>
    <x:border>
      <x:right style="thin">
        <x:color rgb="FF31506B"/>
      </x:right>
      <x:bottom style="thin">
        <x:color rgb="FF31506B"/>
      </x:bottom>
    </x:border>
  </x:borders>
  <x:cellStyleXfs count="1">
    <x:xf numFmtId="0" fontId="0" fillId="0" borderId="0"/>
  </x:cellStyleXfs>
  <x:cellXfs count="128">
    <x:xf numFmtId="0" fontId="0" fillId="0" borderId="0" xfId="0"/>
    <x:xf numFmtId="0" fontId="5" fillId="3" borderId="1" xfId="0" applyFont="1" applyFill="1" applyBorder="1" applyAlignment="1">
      <x:alignment horizontal="left" vertical="center" wrapText="1"/>
    </x:xf>
    <x:xf numFmtId="0" fontId="5" fillId="2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4" fillId="6" borderId="1" xfId="0" applyFont="1" applyFill="1" applyBorder="1" applyAlignment="1">
      <x:alignment horizontal="left" vertical="center"/>
    </x:xf>
    <x:xf numFmtId="0" fontId="4" fillId="4" borderId="1" xfId="0" applyFont="1" applyFill="1" applyBorder="1" applyAlignment="1">
      <x:alignment horizontal="left" vertical="center"/>
    </x:xf>
    <x:xf numFmtId="165" fontId="4" fillId="6" borderId="1" xfId="0" applyNumberFormat="1" applyFont="1" applyFill="1" applyBorder="1" applyAlignment="1">
      <x:alignment horizontal="left" vertical="center"/>
    </x:xf>
    <x:xf numFmtId="166" fontId="4" fillId="6" borderId="1" xfId="0" applyNumberFormat="1" applyFont="1" applyFill="1" applyBorder="1" applyAlignment="1">
      <x:alignment horizontal="left" vertical="center"/>
    </x:xf>
    <x:xf numFmtId="167" fontId="4" fillId="6" borderId="1" xfId="0" applyNumberFormat="1" applyFont="1" applyFill="1" applyBorder="1" applyAlignment="1">
      <x:alignment horizontal="left" vertical="center"/>
    </x:xf>
    <x:xf numFmtId="168" fontId="4" fillId="6" borderId="1" xfId="0" applyNumberFormat="1" applyFont="1" applyFill="1" applyBorder="1" applyAlignment="1">
      <x:alignment horizontal="left" vertical="center"/>
    </x:xf>
    <x:xf numFmtId="170" fontId="4" fillId="6" borderId="1" xfId="0" applyNumberFormat="1" applyFont="1" applyFill="1" applyBorder="1" applyAlignment="1">
      <x:alignment horizontal="left" vertical="center"/>
    </x:xf>
    <x:xf numFmtId="17" fontId="4" fillId="6" borderId="1" xfId="0" applyNumberFormat="1" applyFont="1" applyFill="1" applyBorder="1" applyAlignment="1">
      <x:alignment horizontal="left" vertical="center"/>
    </x:xf>
    <x:xf numFmtId="0" fontId="6" fillId="8" borderId="0" xfId="0" applyFont="1" applyFill="1" applyAlignment="1">
      <x:alignment vertical="center"/>
    </x:xf>
    <x:xf numFmtId="171" fontId="12" fillId="10" borderId="11" xfId="0" applyNumberFormat="1" applyFont="1" applyFill="1" applyBorder="1" applyAlignment="1">
      <x:alignment horizontal="right" vertical="center"/>
    </x:xf>
    <x:xf numFmtId="0" fontId="13" fillId="10" borderId="12" xfId="0" applyFont="1" applyFill="1" applyBorder="1" applyAlignment="1">
      <x:alignment horizontal="left" vertical="center"/>
    </x:xf>
    <x:xf numFmtId="171" fontId="5" fillId="10" borderId="12" xfId="0" applyNumberFormat="1" applyFont="1" applyFill="1" applyBorder="1" applyAlignment="1">
      <x:alignment horizontal="right" vertical="center"/>
    </x:xf>
    <x:xf numFmtId="0" fontId="13" fillId="10" borderId="13" xfId="0" applyFont="1" applyFill="1" applyBorder="1" applyAlignment="1">
      <x:alignment horizontal="left" vertical="center"/>
    </x:xf>
    <x:xf numFmtId="0" fontId="5" fillId="11" borderId="1" xfId="0" applyFont="1" applyFill="1" applyBorder="1" applyAlignment="1">
      <x:alignment horizontal="center" vertical="center" wrapText="1"/>
    </x:xf>
    <x:xf numFmtId="0" fontId="5" fillId="10" borderId="1" xfId="0" applyFont="1" applyFill="1" applyBorder="1" applyAlignment="1">
      <x:alignment horizontal="left" vertical="center"/>
    </x:xf>
    <x:xf numFmtId="0" fontId="6" fillId="10" borderId="1" xfId="0" applyFont="1" applyFill="1" applyBorder="1" applyAlignment="1">
      <x:alignment horizontal="center" vertical="center"/>
    </x:xf>
    <x:xf numFmtId="165" fontId="6" fillId="10" borderId="1" xfId="0" applyNumberFormat="1" applyFont="1" applyFill="1" applyBorder="1" applyAlignment="1">
      <x:alignment horizontal="right" vertical="center"/>
    </x:xf>
    <x:xf numFmtId="166" fontId="6" fillId="10" borderId="1" xfId="0" applyNumberFormat="1" applyFont="1" applyFill="1" applyBorder="1" applyAlignment="1">
      <x:alignment horizontal="right" vertical="center"/>
    </x:xf>
    <x:xf numFmtId="167" fontId="6" fillId="10" borderId="1" xfId="0" applyNumberFormat="1" applyFont="1" applyFill="1" applyBorder="1" applyAlignment="1">
      <x:alignment horizontal="right" vertical="center"/>
    </x:xf>
    <x:xf numFmtId="168" fontId="6" fillId="10" borderId="1" xfId="0" applyNumberFormat="1" applyFont="1" applyFill="1" applyBorder="1" applyAlignment="1">
      <x:alignment horizontal="right" vertical="center"/>
    </x:xf>
    <x:xf numFmtId="170" fontId="6" fillId="10" borderId="1" xfId="0" applyNumberFormat="1" applyFont="1" applyFill="1" applyBorder="1" applyAlignment="1">
      <x:alignment horizontal="right" vertical="center"/>
    </x:xf>
    <x:xf numFmtId="164" fontId="17" fillId="6" borderId="1" xfId="0" applyNumberFormat="1" applyFont="1" applyFill="1" applyBorder="1" applyAlignment="1">
      <x:alignment horizontal="left" vertical="center"/>
    </x:xf>
    <x:xf numFmtId="0" fontId="17" fillId="4" borderId="1" xfId="0" applyFont="1" applyFill="1" applyBorder="1" applyAlignment="1">
      <x:alignment horizontal="left" vertical="center"/>
    </x:xf>
    <x:xf numFmtId="0" fontId="0" fillId="0" borderId="0" xfId="0" applyAlignment="1">
      <x:alignment vertical="center"/>
    </x:xf>
    <x:xf numFmtId="0" fontId="16" fillId="0" borderId="0" xfId="0" applyFont="1" applyAlignment="1">
      <x:alignment vertical="center"/>
    </x:xf>
    <x:xf numFmtId="164" fontId="18" fillId="5" borderId="2" xfId="0" applyNumberFormat="1" applyFont="1" applyFill="1" applyBorder="1" applyAlignment="1">
      <x:alignment horizontal="left" vertical="center"/>
    </x:xf>
    <x:xf numFmtId="164" fontId="18" fillId="5" borderId="2" xfId="0" applyNumberFormat="1" applyFont="1" applyFill="1" applyBorder="1" applyAlignment="1">
      <x:alignment horizontal="right" vertical="center"/>
    </x:xf>
    <x:xf numFmtId="165" fontId="18" fillId="5" borderId="2" xfId="0" applyNumberFormat="1" applyFont="1" applyFill="1" applyBorder="1" applyAlignment="1">
      <x:alignment horizontal="right" vertical="center"/>
    </x:xf>
    <x:xf numFmtId="166" fontId="18" fillId="5" borderId="2" xfId="0" applyNumberFormat="1" applyFont="1" applyFill="1" applyBorder="1" applyAlignment="1">
      <x:alignment horizontal="right" vertical="center"/>
    </x:xf>
    <x:xf numFmtId="167" fontId="18" fillId="5" borderId="2" xfId="0" applyNumberFormat="1" applyFont="1" applyFill="1" applyBorder="1" applyAlignment="1">
      <x:alignment horizontal="right" vertical="center"/>
    </x:xf>
    <x:xf numFmtId="168" fontId="18" fillId="5" borderId="2" xfId="0" applyNumberFormat="1" applyFont="1" applyFill="1" applyBorder="1" applyAlignment="1">
      <x:alignment horizontal="right" vertical="center"/>
    </x:xf>
    <x:xf numFmtId="169" fontId="18" fillId="5" borderId="2" xfId="0" applyNumberFormat="1" applyFont="1" applyFill="1" applyBorder="1" applyAlignment="1">
      <x:alignment horizontal="right" vertical="center"/>
    </x:xf>
    <x:xf numFmtId="0" fontId="1" fillId="12" borderId="0" xfId="0" applyFont="1" applyFill="1" applyAlignment="1">
      <x:alignment vertical="center"/>
    </x:xf>
    <x:xf numFmtId="0" fontId="2" fillId="12" borderId="0" xfId="0" applyFont="1" applyFill="1" applyAlignment="1">
      <x:alignment vertical="center"/>
    </x:xf>
    <x:xf numFmtId="0" fontId="19" fillId="12" borderId="0" xfId="0" applyFont="1" applyFill="1" applyAlignment="1">
      <x:alignment vertical="center"/>
    </x:xf>
    <x:xf numFmtId="0" fontId="1" fillId="8" borderId="0" xfId="0" applyFont="1" applyFill="1" applyAlignment="1">
      <x:alignment vertical="center"/>
    </x:xf>
    <x:xf numFmtId="0" fontId="7" fillId="9" borderId="3" xfId="0" applyFont="1" applyFill="1" applyBorder="1" applyAlignment="1">
      <x:alignment horizontal="left" vertical="center"/>
    </x:xf>
    <x:xf numFmtId="0" fontId="7" fillId="9" borderId="4" xfId="0" applyFont="1" applyFill="1" applyBorder="1" applyAlignment="1">
      <x:alignment horizontal="left" vertical="center"/>
    </x:xf>
    <x:xf numFmtId="0" fontId="7" fillId="9" borderId="5" xfId="0" applyFont="1" applyFill="1" applyBorder="1" applyAlignment="1">
      <x:alignment horizontal="left" vertical="center"/>
    </x:xf>
    <x:xf numFmtId="164" fontId="8" fillId="9" borderId="3" xfId="0" applyNumberFormat="1" applyFont="1" applyFill="1" applyBorder="1" applyAlignment="1">
      <x:alignment horizontal="left" vertical="center"/>
    </x:xf>
    <x:xf numFmtId="164" fontId="8" fillId="9" borderId="4" xfId="0" applyNumberFormat="1" applyFont="1" applyFill="1" applyBorder="1" applyAlignment="1">
      <x:alignment horizontal="left" vertical="center"/>
    </x:xf>
    <x:xf numFmtId="164" fontId="8" fillId="9" borderId="5" xfId="0" applyNumberFormat="1" applyFont="1" applyFill="1" applyBorder="1" applyAlignment="1">
      <x:alignment horizontal="left" vertical="center"/>
    </x:xf>
    <x:xf numFmtId="0" fontId="9" fillId="8" borderId="0" xfId="0" applyFont="1" applyFill="1" applyAlignment="1">
      <x:alignment horizontal="left" vertical="center"/>
    </x:xf>
    <x:xf numFmtId="0" fontId="10" fillId="10" borderId="6" xfId="0" applyFont="1" applyFill="1" applyBorder="1" applyAlignment="1">
      <x:alignment horizontal="left" vertical="center"/>
    </x:xf>
    <x:xf numFmtId="0" fontId="10" fillId="10" borderId="7" xfId="0" applyFont="1" applyFill="1" applyBorder="1" applyAlignment="1">
      <x:alignment horizontal="left" vertical="center"/>
    </x:xf>
    <x:xf numFmtId="0" fontId="10" fillId="10" borderId="8" xfId="0" applyFont="1" applyFill="1" applyBorder="1" applyAlignment="1">
      <x:alignment horizontal="left" vertical="center"/>
    </x:xf>
    <x:xf numFmtId="165" fontId="11" fillId="10" borderId="9" xfId="0" applyNumberFormat="1" applyFont="1" applyFill="1" applyBorder="1" applyAlignment="1">
      <x:alignment horizontal="left" vertical="center"/>
    </x:xf>
    <x:xf numFmtId="165" fontId="11" fillId="10" borderId="0" xfId="0" applyNumberFormat="1" applyFont="1" applyFill="1" applyAlignment="1">
      <x:alignment horizontal="left" vertical="center"/>
    </x:xf>
    <x:xf numFmtId="165" fontId="11" fillId="10" borderId="10" xfId="0" applyNumberFormat="1" applyFont="1" applyFill="1" applyBorder="1" applyAlignment="1">
      <x:alignment horizontal="left" vertical="center"/>
    </x:xf>
    <x:xf numFmtId="166" fontId="11" fillId="10" borderId="9" xfId="0" applyNumberFormat="1" applyFont="1" applyFill="1" applyBorder="1" applyAlignment="1">
      <x:alignment horizontal="left" vertical="center"/>
    </x:xf>
    <x:xf numFmtId="166" fontId="11" fillId="10" borderId="0" xfId="0" applyNumberFormat="1" applyFont="1" applyFill="1" applyAlignment="1">
      <x:alignment horizontal="left" vertical="center"/>
    </x:xf>
    <x:xf numFmtId="166" fontId="11" fillId="10" borderId="10" xfId="0" applyNumberFormat="1" applyFont="1" applyFill="1" applyBorder="1" applyAlignment="1">
      <x:alignment horizontal="left" vertical="center"/>
    </x:xf>
    <x:xf numFmtId="0" fontId="3" fillId="9" borderId="0" xfId="0" applyFont="1" applyFill="1" applyAlignment="1">
      <x:alignment horizontal="left" vertical="center"/>
    </x:xf>
    <x:xf numFmtId="0" fontId="14" fillId="10" borderId="6" xfId="0" applyFont="1" applyFill="1" applyBorder="1" applyAlignment="1">
      <x:alignment horizontal="left" vertical="center" wrapText="1"/>
    </x:xf>
    <x:xf numFmtId="0" fontId="14" fillId="10" borderId="7" xfId="0" applyFont="1" applyFill="1" applyBorder="1" applyAlignment="1">
      <x:alignment horizontal="left" vertical="center" wrapText="1"/>
    </x:xf>
    <x:xf numFmtId="0" fontId="14" fillId="10" borderId="8" xfId="0" applyFont="1" applyFill="1" applyBorder="1" applyAlignment="1">
      <x:alignment horizontal="left" vertical="center" wrapText="1"/>
    </x:xf>
    <x:xf numFmtId="0" fontId="14" fillId="10" borderId="9" xfId="0" applyFont="1" applyFill="1" applyBorder="1" applyAlignment="1">
      <x:alignment horizontal="left" vertical="center" wrapText="1"/>
    </x:xf>
    <x:xf numFmtId="0" fontId="14" fillId="10" borderId="0" xfId="0" applyFont="1" applyFill="1" applyAlignment="1">
      <x:alignment horizontal="left" vertical="center" wrapText="1"/>
    </x:xf>
    <x:xf numFmtId="0" fontId="14" fillId="10" borderId="10" xfId="0" applyFont="1" applyFill="1" applyBorder="1" applyAlignment="1">
      <x:alignment horizontal="left" vertical="center" wrapText="1"/>
    </x:xf>
    <x:xf numFmtId="0" fontId="14" fillId="10" borderId="11" xfId="0" applyFont="1" applyFill="1" applyBorder="1" applyAlignment="1">
      <x:alignment horizontal="left" vertical="center" wrapText="1"/>
    </x:xf>
    <x:xf numFmtId="0" fontId="14" fillId="10" borderId="12" xfId="0" applyFont="1" applyFill="1" applyBorder="1" applyAlignment="1">
      <x:alignment horizontal="left" vertical="center" wrapText="1"/>
    </x:xf>
    <x:xf numFmtId="0" fontId="14" fillId="10" borderId="13" xfId="0" applyFont="1" applyFill="1" applyBorder="1" applyAlignment="1">
      <x:alignment horizontal="left" vertical="center" wrapText="1"/>
    </x:xf>
    <x:xf numFmtId="0" fontId="15" fillId="9" borderId="6" xfId="0" applyFont="1" applyFill="1" applyBorder="1" applyAlignment="1">
      <x:alignment horizontal="left" vertical="center" wrapText="1"/>
    </x:xf>
    <x:xf numFmtId="0" fontId="15" fillId="9" borderId="7" xfId="0" applyFont="1" applyFill="1" applyBorder="1" applyAlignment="1">
      <x:alignment horizontal="left" vertical="center" wrapText="1"/>
    </x:xf>
    <x:xf numFmtId="0" fontId="15" fillId="9" borderId="8" xfId="0" applyFont="1" applyFill="1" applyBorder="1" applyAlignment="1">
      <x:alignment horizontal="left" vertical="center" wrapText="1"/>
    </x:xf>
    <x:xf numFmtId="0" fontId="15" fillId="9" borderId="9" xfId="0" applyFont="1" applyFill="1" applyBorder="1" applyAlignment="1">
      <x:alignment horizontal="left" vertical="center" wrapText="1"/>
    </x:xf>
    <x:xf numFmtId="0" fontId="15" fillId="9" borderId="0" xfId="0" applyFont="1" applyFill="1" applyAlignment="1">
      <x:alignment horizontal="left" vertical="center" wrapText="1"/>
    </x:xf>
    <x:xf numFmtId="0" fontId="15" fillId="9" borderId="10" xfId="0" applyFont="1" applyFill="1" applyBorder="1" applyAlignment="1">
      <x:alignment horizontal="left" vertical="center" wrapText="1"/>
    </x:xf>
    <x:xf numFmtId="0" fontId="15" fillId="9" borderId="11" xfId="0" applyFont="1" applyFill="1" applyBorder="1" applyAlignment="1">
      <x:alignment horizontal="left" vertical="center" wrapText="1"/>
    </x:xf>
    <x:xf numFmtId="0" fontId="15" fillId="9" borderId="12" xfId="0" applyFont="1" applyFill="1" applyBorder="1" applyAlignment="1">
      <x:alignment horizontal="left" vertical="center" wrapText="1"/>
    </x:xf>
    <x:xf numFmtId="0" fontId="15" fillId="9" borderId="13" xfId="0" applyFont="1" applyFill="1" applyBorder="1" applyAlignment="1">
      <x:alignment horizontal="left" vertical="center" wrapText="1"/>
    </x:xf>
    <x:xf numFmtId="170" fontId="11" fillId="10" borderId="9" xfId="0" applyNumberFormat="1" applyFont="1" applyFill="1" applyBorder="1" applyAlignment="1">
      <x:alignment horizontal="left" vertical="center"/>
    </x:xf>
    <x:xf numFmtId="170" fontId="11" fillId="10" borderId="0" xfId="0" applyNumberFormat="1" applyFont="1" applyFill="1" applyAlignment="1">
      <x:alignment horizontal="left" vertical="center"/>
    </x:xf>
    <x:xf numFmtId="170" fontId="11" fillId="10" borderId="10" xfId="0" applyNumberFormat="1" applyFont="1" applyFill="1" applyBorder="1" applyAlignment="1">
      <x:alignment horizontal="left" vertical="center"/>
    </x:xf>
    <x:xf numFmtId="167" fontId="11" fillId="10" borderId="9" xfId="0" applyNumberFormat="1" applyFont="1" applyFill="1" applyBorder="1" applyAlignment="1">
      <x:alignment horizontal="left" vertical="center"/>
    </x:xf>
    <x:xf numFmtId="167" fontId="11" fillId="10" borderId="0" xfId="0" applyNumberFormat="1" applyFont="1" applyFill="1" applyAlignment="1">
      <x:alignment horizontal="left" vertical="center"/>
    </x:xf>
    <x:xf numFmtId="167" fontId="11" fillId="10" borderId="10" xfId="0" applyNumberFormat="1" applyFont="1" applyFill="1" applyBorder="1" applyAlignment="1">
      <x:alignment horizontal="left" vertical="center"/>
    </x:xf>
    <x:xf numFmtId="168" fontId="11" fillId="10" borderId="9" xfId="0" applyNumberFormat="1" applyFont="1" applyFill="1" applyBorder="1" applyAlignment="1">
      <x:alignment horizontal="left" vertical="center"/>
    </x:xf>
    <x:xf numFmtId="168" fontId="11" fillId="10" borderId="0" xfId="0" applyNumberFormat="1" applyFont="1" applyFill="1" applyAlignment="1">
      <x:alignment horizontal="left" vertical="center"/>
    </x:xf>
    <x:xf numFmtId="168" fontId="11" fillId="10" borderId="10" xfId="0" applyNumberFormat="1" applyFont="1" applyFill="1" applyBorder="1" applyAlignment="1">
      <x:alignment horizontal="left" vertical="center"/>
    </x:xf>
    <x:xf numFmtId="0" fontId="4" fillId="6" borderId="1" xfId="0" applyFont="1" applyFill="1" applyBorder="1" applyAlignment="1">
      <x:alignment horizontal="left" vertical="center" wrapText="1"/>
    </x:xf>
    <x:xf numFmtId="0" fontId="3" fillId="7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4" fillId="4" borderId="1" xfId="0" applyFont="1" applyFill="1" applyBorder="1" applyAlignment="1">
      <x:alignment horizontal="left" vertical="center" wrapText="1"/>
    </x:xf>
    <x:xf numFmtId="200" fontId="18" fillId="5" borderId="2" xfId="0" applyNumberFormat="1" applyFont="1" applyFill="1" applyBorder="1" applyAlignment="1">
      <x:alignment horizontal="left" vertical="center"/>
    </x:xf>
    <x:xf numFmtId="200" fontId="17" fillId="6" borderId="1" xfId="0" applyNumberFormat="1" applyFont="1" applyFill="1" applyBorder="1" applyAlignment="1">
      <x:alignment horizontal="left" vertical="center"/>
    </x:xf>
    <x:xf numFmtId="0" fontId="5" fillId="2" borderId="1" xfId="0" applyNumberFormat="1" applyFont="1" applyFill="1" applyBorder="1" applyAlignment="1">
      <x:alignment horizontal="center" vertical="center" wrapText="1"/>
    </x:xf>
    <x:xf numFmtId="165" fontId="18" fillId="13" borderId="2" xfId="0" applyNumberFormat="1" applyFont="1" applyFill="1" applyBorder="1" applyAlignment="1">
      <x:alignment horizontal="right" vertical="center"/>
    </x:xf>
    <x:xf numFmtId="166" fontId="18" fillId="13" borderId="2" xfId="0" applyNumberFormat="1" applyFont="1" applyFill="1" applyBorder="1" applyAlignment="1">
      <x:alignment horizontal="right" vertical="center"/>
    </x:xf>
    <x:xf numFmtId="167" fontId="18" fillId="13" borderId="2" xfId="0" applyNumberFormat="1" applyFont="1" applyFill="1" applyBorder="1" applyAlignment="1">
      <x:alignment horizontal="right" vertical="center"/>
    </x:xf>
    <x:xf numFmtId="168" fontId="18" fillId="13" borderId="2" xfId="0" applyNumberFormat="1" applyFont="1" applyFill="1" applyBorder="1" applyAlignment="1">
      <x:alignment horizontal="right" vertical="center"/>
    </x:xf>
    <x:xf numFmtId="201" fontId="18" fillId="13" borderId="2" xfId="0" applyNumberFormat="1" applyFont="1" applyFill="1" applyBorder="1" applyAlignment="1">
      <x:alignment horizontal="right" vertical="center"/>
    </x:xf>
    <x:xf numFmtId="202" fontId="18" fillId="13" borderId="2" xfId="0" applyNumberFormat="1" applyFont="1" applyFill="1" applyBorder="1" applyAlignment="1">
      <x:alignment horizontal="right" vertical="center"/>
    </x:xf>
    <x:xf numFmtId="203" fontId="18" fillId="5" borderId="2" xfId="0" applyNumberFormat="1" applyFont="1" applyFill="1" applyBorder="1" applyAlignment="1">
      <x:alignment horizontal="right" vertical="center"/>
    </x:xf>
    <x:xf numFmtId="201" fontId="18" fillId="5" borderId="2" xfId="0" applyNumberFormat="1" applyFont="1" applyFill="1" applyBorder="1" applyAlignment="1">
      <x:alignment horizontal="right" vertical="center"/>
    </x:xf>
    <x:xf numFmtId="201" fontId="17" fillId="4" borderId="1" xfId="0" applyNumberFormat="1" applyFont="1" applyFill="1" applyBorder="1" applyAlignment="1">
      <x:alignment horizontal="left" vertical="center"/>
    </x:xf>
    <x:xf numFmtId="0" fontId="20" fillId="0" borderId="0" xfId="0" applyNumberFormat="1" applyFont="1" applyFill="1" applyBorder="1"/>
    <x:xf numFmtId="0" fontId="21" fillId="0" borderId="0" xfId="0" applyNumberFormat="1" applyFont="1" applyFill="1" applyBorder="1"/>
    <x:xf numFmtId="0" fontId="20" fillId="0" borderId="0" xfId="0" applyNumberFormat="1" applyFont="1" applyFill="1" applyBorder="1" applyAlignment="1">
      <x:alignment wrapText="1"/>
    </x:xf>
    <x:xf numFmtId="0" fontId="20" fillId="14" borderId="0" xfId="0" applyNumberFormat="1" applyFont="1" applyFill="1" applyBorder="1"/>
    <x:xf numFmtId="0" fontId="8" fillId="14" borderId="0" xfId="0" applyNumberFormat="1" applyFont="1" applyFill="1" applyBorder="1"/>
    <x:xf numFmtId="0" fontId="20" fillId="15" borderId="0" xfId="0" applyNumberFormat="1" applyFont="1" applyFill="1" applyBorder="1"/>
    <x:xf numFmtId="0" fontId="0" fillId="15" borderId="0" xfId="0" applyNumberFormat="1" applyFont="1" applyFill="1" applyBorder="1"/>
    <x:xf numFmtId="201" fontId="20" fillId="15" borderId="0" xfId="0" applyNumberFormat="1" applyFont="1" applyFill="1" applyBorder="1"/>
    <x:xf numFmtId="201" fontId="0" fillId="15" borderId="0" xfId="0" applyNumberFormat="1" applyFont="1" applyFill="1" applyBorder="1"/>
    <x:xf numFmtId="200" fontId="20" fillId="15" borderId="0" xfId="0" applyNumberFormat="1" applyFont="1" applyFill="1" applyBorder="1"/>
    <x:xf numFmtId="200" fontId="0" fillId="15" borderId="0" xfId="0" applyNumberFormat="1" applyFont="1" applyFill="1" applyBorder="1"/>
    <x:xf numFmtId="200" fontId="8" fillId="9" borderId="3" xfId="0" applyNumberFormat="1" applyFont="1" applyFill="1" applyBorder="1" applyAlignment="1">
      <x:alignment horizontal="left" vertical="center"/>
    </x:xf>
    <x:xf numFmtId="201" fontId="11" fillId="10" borderId="9" xfId="0" applyNumberFormat="1" applyFont="1" applyFill="1" applyBorder="1" applyAlignment="1">
      <x:alignment horizontal="left" vertical="center"/>
    </x:xf>
    <x:xf numFmtId="201" fontId="22" fillId="10" borderId="9" xfId="0" applyNumberFormat="1" applyFont="1" applyFill="1" applyBorder="1" applyAlignment="1">
      <x:alignment horizontal="left" vertical="center"/>
    </x:xf>
    <x:xf numFmtId="202" fontId="11" fillId="10" borderId="9" xfId="0" applyNumberFormat="1" applyFont="1" applyFill="1" applyBorder="1" applyAlignment="1">
      <x:alignment horizontal="left" vertical="center"/>
    </x:xf>
    <x:xf numFmtId="202" fontId="22" fillId="10" borderId="9" xfId="0" applyNumberFormat="1" applyFont="1" applyFill="1" applyBorder="1" applyAlignment="1">
      <x:alignment horizontal="left" vertical="center"/>
    </x:xf>
    <x:xf numFmtId="200" fontId="17" fillId="15" borderId="1" xfId="0" applyNumberFormat="1" applyFont="1" applyFill="1" applyBorder="1" applyAlignment="1">
      <x:alignment horizontal="left" vertical="center"/>
    </x:xf>
    <x:xf numFmtId="200" fontId="23" fillId="15" borderId="1" xfId="0" applyNumberFormat="1" applyFont="1" applyFill="1" applyBorder="1" applyAlignment="1">
      <x:alignment horizontal="left" vertical="center"/>
    </x:xf>
    <x:xf numFmtId="203" fontId="24" fillId="5" borderId="2" xfId="0" applyNumberFormat="1" applyFont="1" applyFill="1" applyBorder="1" applyAlignment="1">
      <x:alignment horizontal="right" vertical="center"/>
    </x:xf>
    <x:xf numFmtId="201" fontId="24" fillId="13" borderId="2" xfId="0" applyNumberFormat="1" applyFont="1" applyFill="1" applyBorder="1" applyAlignment="1">
      <x:alignment horizontal="right" vertical="center"/>
    </x:xf>
    <x:xf numFmtId="202" fontId="24" fillId="13" borderId="2" xfId="0" applyNumberFormat="1" applyFont="1" applyFill="1" applyBorder="1" applyAlignment="1">
      <x:alignment horizontal="right" vertical="center"/>
    </x:xf>
    <x:xf numFmtId="203" fontId="24" fillId="13" borderId="2" xfId="0" applyNumberFormat="1" applyFont="1" applyFill="1" applyBorder="1" applyAlignment="1">
      <x:alignment horizontal="right" vertical="center"/>
    </x:xf>
    <x:xf numFmtId="0" fontId="8" fillId="11" borderId="1" xfId="0" applyNumberFormat="1" applyFont="1" applyFill="1" applyBorder="1" applyAlignment="1">
      <x:alignment horizontal="center" vertical="center" wrapText="1"/>
    </x:xf>
    <x:xf numFmtId="0" fontId="8" fillId="10" borderId="1" xfId="0" applyNumberFormat="1" applyFont="1" applyFill="1" applyBorder="1" applyAlignment="1">
      <x:alignment horizontal="left" vertical="center"/>
    </x:xf>
    <x:xf numFmtId="0" fontId="25" fillId="10" borderId="1" xfId="0" applyNumberFormat="1" applyFont="1" applyFill="1" applyBorder="1" applyAlignment="1">
      <x:alignment horizontal="center" vertical="center"/>
    </x:xf>
    <x:xf numFmtId="201" fontId="25" fillId="10" borderId="1" xfId="0" applyNumberFormat="1" applyFont="1" applyFill="1" applyBorder="1" applyAlignment="1">
      <x:alignment horizontal="center" vertical="center"/>
    </x:xf>
    <x:xf numFmtId="202" fontId="25" fillId="1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9"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9C2525"/>
      </x:font>
      <x:fill>
        <x:patternFill patternType="solid">
          <x:bgColor rgb="FFFCE0DE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9C2525"/>
      </x:font>
      <x:fill>
        <x:patternFill patternType="solid">
          <x:bgColor rgb="FFFCE0DE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5a4b31c45045a1" /><Relationship Type="http://schemas.openxmlformats.org/officeDocument/2006/relationships/theme" Target="/xl/theme/theme1.xml" Id="R467f66a93ca64662" /><Relationship Type="http://schemas.openxmlformats.org/officeDocument/2006/relationships/sharedStrings" Target="/xl/sharedStrings.xml" Id="Rb168f7e722bc4b0c" /><Relationship Type="http://schemas.openxmlformats.org/officeDocument/2006/relationships/worksheet" Target="/xl/worksheets/sheet1.xml" Id="Rf60ed4d8f708412b" /><Relationship Type="http://schemas.openxmlformats.org/officeDocument/2006/relationships/worksheet" Target="/xl/worksheets/sheet2.xml" Id="Rbbdd71700f1c4168" /><Relationship Type="http://schemas.openxmlformats.org/officeDocument/2006/relationships/worksheet" Target="/xl/worksheets/sheet3.xml" Id="Rd5555b5c74bc41bc" /><Relationship Type="http://schemas.openxmlformats.org/officeDocument/2006/relationships/worksheet" Target="/xl/worksheets/sheet4.xml" Id="Rb757aa966e9543c4" /><Relationship Type="http://schemas.openxmlformats.org/officeDocument/2006/relationships/worksheet" Target="/xl/worksheets/sheet5.xml" Id="Rf0cb0ff1b8b640c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97e4346e577499c" /><Relationship Type="http://schemas.openxmlformats.org/officeDocument/2006/relationships/chart" Target="/xl/drawings/charts/chart2.xml" Id="R6ca92d632f594541" /><Relationship Type="http://schemas.openxmlformats.org/officeDocument/2006/relationships/chart" Target="/xl/drawings/charts/chart3.xml" Id="R099c2caa24524199" /><Relationship Type="http://schemas.openxmlformats.org/officeDocument/2006/relationships/chart" Target="/xl/drawings/charts/chart4.xml" Id="Rfabc4ccfe3974ee1" /></Relationships>
</file>

<file path=xl/drawings/charts/chart1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A7B6C8"/>
                </a:solidFill>
                <a:latin typeface="Arial"/>
                <a:ea typeface="Arial"/>
                <a:cs typeface="Arial"/>
              </a:rPr>
              <a:t>Cash in and out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lineChart>
        <c:grouping val="standard"/>
        <c:varyColors val="1"/>
        <c:ser>
          <c:idx val="0"/>
          <c:order val="0"/>
          <c:tx>
            <c:v>Cash in</c:v>
          </c:tx>
          <c:spPr>
            <a:ln xmlns:a="http://schemas.openxmlformats.org/drawingml/2006/main" w="19050">
              <a:solidFill>
                <a:srgbClr val="35CAF4"/>
              </a:solidFill>
              <a:prstDash val="solid"/>
            </a:ln>
          </c:spPr>
          <c:marker>
            <c:symbol val="none"/>
          </c:marker>
          <c:cat>
            <c:strRef>
              <c:f>'_Chart Helpers'!$H$2:$H$13</c:f>
              <c:strCache>
                <c:ptCount val="0"/>
              </c:strCache>
            </c:strRef>
          </c:cat>
          <c:val>
            <c:numRef>
              <c:f>'_Chart Helpers'!$I$2:$I$13</c:f>
              <c:numCache>
                <c:formatCode>"AED "#,##0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Cash out</c:v>
          </c:tx>
          <c:spPr>
            <a:ln xmlns:a="http://schemas.openxmlformats.org/drawingml/2006/main" w="19050">
              <a:solidFill>
                <a:srgbClr val="FFBF00"/>
              </a:solidFill>
              <a:prstDash val="solid"/>
            </a:ln>
          </c:spPr>
          <c:marker>
            <c:symbol val="none"/>
          </c:marker>
          <c:cat>
            <c:strRef>
              <c:f>'_Chart Helpers'!$H$2:$H$13</c:f>
              <c:strCache>
                <c:ptCount val="0"/>
              </c:strCache>
            </c:strRef>
          </c:cat>
          <c:val>
            <c:numRef>
              <c:f>'_Chart Helpers'!$J$2:$J$13</c:f>
              <c:numCache>
                <c:formatCode>"AED "#,##0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1038433"/>
        <c:axId val="982302182"/>
      </c:lineChart>
      <c:catAx>
        <c:axId val="571038433"/>
        <c:scaling>
          <c:orientation val="minMax"/>
        </c:scaling>
        <c:delete val="0"/>
        <c:axPos val="b"/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 b="1" i="0">
                <a:solidFill>
                  <a:srgbClr val="ADBFCE"/>
                </a:solidFill>
                <a:latin typeface="Arial"/>
                <a:ea typeface="Arial"/>
                <a:cs typeface="Arial"/>
              </a:defRPr>
            </a:pPr>
          </a:p>
        </c:txPr>
        <c:crossAx val="982302182"/>
        <c:crosses val="autoZero"/>
        <c:lblOffset val="100"/>
      </c:catAx>
      <c:valAx>
        <c:axId val="982302182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2E4052"/>
              </a:solidFill>
            </a:ln>
          </c:spPr>
        </c:majorGridlines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&quot;AED &quot;#,##0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 b="1" i="0">
                <a:solidFill>
                  <a:srgbClr val="ADBFCE"/>
                </a:solidFill>
                <a:latin typeface="Arial"/>
                <a:ea typeface="Arial"/>
                <a:cs typeface="Arial"/>
              </a:defRPr>
            </a:pPr>
          </a:p>
        </c:txPr>
        <c:crossAx val="571038433"/>
        <c:crosses val="autoZero"/>
        <c:crossBetween val="between"/>
      </c:valAx>
      <c:spPr>
        <a:solidFill xmlns:a="http://schemas.openxmlformats.org/drawingml/2006/main">
          <a:srgbClr val="16212C"/>
        </a:solidFill>
      </c:spPr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1" i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16212C"/>
    </a:solidFill>
  </c:spPr>
</c:chartSpace>
</file>

<file path=xl/drawings/charts/chart2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A7B6C8"/>
                </a:solidFill>
                <a:latin typeface="Arial"/>
                <a:ea typeface="Arial"/>
                <a:cs typeface="Arial"/>
              </a:rPr>
              <a:t>Cash net and planned net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barChart>
        <c:barDir val="col"/>
        <c:grouping val="clustered"/>
        <c:varyColors val="1"/>
        <c:ser>
          <c:idx val="0"/>
          <c:order val="0"/>
          <c:tx>
            <c:v>Net cash flow</c:v>
          </c:tx>
          <c:spPr>
            <a:ln xmlns:a="http://schemas.openxmlformats.org/drawingml/2006/main" w="19050">
              <a:solidFill>
                <a:srgbClr val="35CAF4"/>
              </a:solidFill>
              <a:prstDash val="solid"/>
            </a:ln>
          </c:spPr>
          <c:cat>
            <c:strRef>
              <c:f>'_Chart Helpers'!$L$2:$L$13</c:f>
              <c:strCache>
                <c:ptCount val="0"/>
              </c:strCache>
            </c:strRef>
          </c:cat>
          <c:val>
            <c:numRef>
              <c:f>'_Chart Helpers'!$M$2:$M$13</c:f>
              <c:numCache>
                <c:formatCode>"AED "#,##0</c:formatCode>
                <c:ptCount val="0"/>
              </c:numCache>
            </c:numRef>
          </c:val>
        </c:ser>
        <c:ser>
          <c:idx val="1"/>
          <c:order val="1"/>
          <c:tx>
            <c:v>Planned net</c:v>
          </c:tx>
          <c:spPr>
            <a:ln xmlns:a="http://schemas.openxmlformats.org/drawingml/2006/main" w="19050">
              <a:solidFill>
                <a:srgbClr val="FFBF00"/>
              </a:solidFill>
              <a:prstDash val="solid"/>
            </a:ln>
          </c:spPr>
          <c:cat>
            <c:strRef>
              <c:f>'_Chart Helpers'!$L$2:$L$13</c:f>
              <c:strCache>
                <c:ptCount val="0"/>
              </c:strCache>
            </c:strRef>
          </c:cat>
          <c:val>
            <c:numRef>
              <c:f>'_Chart Helpers'!$N$2:$N$13</c:f>
              <c:numCache>
                <c:formatCode>"AED "#,##0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6762807"/>
        <c:axId val="1313677059"/>
      </c:barChart>
      <c:catAx>
        <c:axId val="376762807"/>
        <c:scaling>
          <c:orientation val="minMax"/>
        </c:scaling>
        <c:delete val="0"/>
        <c:axPos val="b"/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 b="1" i="0">
                <a:solidFill>
                  <a:srgbClr val="ADBFCE"/>
                </a:solidFill>
                <a:latin typeface="Arial"/>
                <a:ea typeface="Arial"/>
                <a:cs typeface="Arial"/>
              </a:defRPr>
            </a:pPr>
          </a:p>
        </c:txPr>
        <c:crossAx val="1313677059"/>
        <c:crosses val="autoZero"/>
        <c:lblOffset val="100"/>
      </c:catAx>
      <c:valAx>
        <c:axId val="1313677059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2E4052"/>
              </a:solidFill>
            </a:ln>
          </c:spPr>
        </c:majorGridlines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&quot;AED &quot;#,##0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 b="1" i="0">
                <a:solidFill>
                  <a:srgbClr val="ADBFCE"/>
                </a:solidFill>
                <a:latin typeface="Arial"/>
                <a:ea typeface="Arial"/>
                <a:cs typeface="Arial"/>
              </a:defRPr>
            </a:pPr>
          </a:p>
        </c:txPr>
        <c:crossAx val="376762807"/>
        <c:crosses val="autoZero"/>
        <c:crossBetween val="between"/>
      </c:valAx>
      <c:spPr>
        <a:solidFill xmlns:a="http://schemas.openxmlformats.org/drawingml/2006/main">
          <a:srgbClr val="16212C"/>
        </a:solidFill>
      </c:spPr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1" i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16212C"/>
    </a:solidFill>
  </c:spPr>
</c:chartSpace>
</file>

<file path=xl/drawings/charts/chart3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A7B6C8"/>
                </a:solidFill>
                <a:latin typeface="Arial"/>
                <a:ea typeface="Arial"/>
                <a:cs typeface="Arial"/>
              </a:rPr>
              <a:t>Open amounts and next 30 days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barChart>
        <c:barDir val="bar"/>
        <c:grouping val="clustered"/>
        <c:varyColors val="1"/>
        <c:ser>
          <c:idx val="0"/>
          <c:order val="0"/>
          <c:tx>
            <c:v>Amount (AED)</c:v>
          </c:tx>
          <c:cat>
            <c:strRef>
              <c:f>'_Chart Helpers'!$P$2:$P$5</c:f>
              <c:strCache>
                <c:ptCount val="0"/>
              </c:strCache>
            </c:strRef>
          </c:cat>
          <c:val>
            <c:numRef>
              <c:f>'_Chart Helpers'!$Q$2:$Q$5</c:f>
              <c:numCache>
                <c:formatCode>#,##0;[Red]\(#,##0\);\-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2910587"/>
        <c:axId val="2009006557"/>
      </c:barChart>
      <c:catAx>
        <c:axId val="1442910587"/>
        <c:scaling>
          <c:orientation val="maxMin"/>
        </c:scaling>
        <c:delete val="0"/>
        <c:axPos val="l"/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&quot;AED &quot;#,##0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 b="1" i="0">
                <a:solidFill>
                  <a:srgbClr val="ADBFCE"/>
                </a:solidFill>
                <a:latin typeface="Arial"/>
                <a:ea typeface="Arial"/>
                <a:cs typeface="Arial"/>
              </a:defRPr>
            </a:pPr>
          </a:p>
        </c:txPr>
        <c:crossAx val="2009006557"/>
        <c:crosses val="autoZero"/>
        <c:lblOffset val="100"/>
      </c:catAx>
      <c:valAx>
        <c:axId val="2009006557"/>
        <c:scaling>
          <c:orientation val="minMax"/>
        </c:scaling>
        <c:delete val="0"/>
        <c:axPos val="b"/>
        <c:majorGridlines>
          <c:spPr>
            <a:ln xmlns:a="http://schemas.openxmlformats.org/drawingml/2006/main">
              <a:solidFill>
                <a:srgbClr val="2E4052"/>
              </a:solidFill>
            </a:ln>
          </c:spPr>
        </c:majorGridlines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0,&quot;K&quot;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 b="1" i="0">
                <a:solidFill>
                  <a:srgbClr val="ADBFCE"/>
                </a:solidFill>
                <a:latin typeface="Arial"/>
                <a:ea typeface="Arial"/>
                <a:cs typeface="Arial"/>
              </a:defRPr>
            </a:pPr>
          </a:p>
        </c:txPr>
        <c:crossAx val="1442910587"/>
        <c:crosses val="max"/>
        <c:crossBetween val="between"/>
      </c:valAx>
      <c:spPr>
        <a:solidFill xmlns:a="http://schemas.openxmlformats.org/drawingml/2006/main">
          <a:srgbClr val="16212C"/>
        </a:solidFill>
      </c:spPr>
    </c:plotArea>
    <c:plotVisOnly val="1"/>
  </c:chart>
  <c:spPr>
    <a:solidFill xmlns:a="http://schemas.openxmlformats.org/drawingml/2006/main">
      <a:srgbClr val="16212C"/>
    </a:solidFill>
  </c:spPr>
</c:chartSpace>
</file>

<file path=xl/drawings/charts/chart4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A7B6C8"/>
                </a:solidFill>
                <a:latin typeface="Arial"/>
                <a:ea typeface="Arial"/>
                <a:cs typeface="Arial"/>
              </a:rPr>
              <a:t>Paid expenses this month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barChart>
        <c:barDir val="col"/>
        <c:varyColors val="0"/>
        <c:ser>
          <c:idx val="0"/>
          <c:order val="0"/>
          <c:tx>
            <c:v>Paid (AED)</c:v>
          </c:tx>
          <c:cat>
            <c:strRef>
              <c:f>'_Chart Helpers'!$S$2:$S$6</c:f>
              <c:strCache>
                <c:ptCount val="0"/>
              </c:strCache>
            </c:strRef>
          </c:cat>
          <c:val>
            <c:numRef>
              <c:f>'_Chart Helpers'!$T$2:$T$6</c:f>
              <c:numCache>
                <c:formatCode>\$#,##0;[Red]\(\$#,##0\);\-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solidFill>
                  <a:srgbClr val="ADBFCE"/>
                </a:solidFill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numFmt formatCode="&quot;AED &quot;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solidFill>
                  <a:srgbClr val="ADBFCE"/>
                </a:solidFill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  <c:spPr>
        <a:solidFill xmlns:a="http://schemas.openxmlformats.org/drawingml/2006/main">
          <a:srgbClr val="16212C"/>
        </a:solidFill>
      </c:spPr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1" i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16212C"/>
    </a:solidFill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15</xdr:row>
      <xdr:rowOff>0</xdr:rowOff>
    </xdr:from>
    <xdr:to>
      <xdr:col>9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7e4346e577499c"/>
        </a:graphicData>
      </a:graphic>
    </xdr:graphicFrame>
    <xdr:clientData/>
  </xdr:twoCellAnchor>
  <xdr:twoCellAnchor>
    <xdr:from>
      <xdr:col>9</xdr:col>
      <xdr:colOff>0</xdr:colOff>
      <xdr:row>15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ca92d632f594541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9</xdr:col>
      <xdr:colOff>0</xdr:colOff>
      <xdr:row>41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9c2caa24524199"/>
        </a:graphicData>
      </a:graphic>
    </xdr:graphicFrame>
    <xdr:clientData/>
  </xdr:twoCellAnchor>
  <xdr:twoCellAnchor>
    <xdr:from>
      <xdr:col>9</xdr:col>
      <xdr:colOff>0</xdr:colOff>
      <xdr:row>29</xdr:row>
      <xdr:rowOff>0</xdr:rowOff>
    </xdr:from>
    <xdr:to>
      <xdr:col>17</xdr:col>
      <xdr:colOff>0</xdr:colOff>
      <xdr:row>41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bc4ccfe3974ee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comeEntries" displayName="IncomeEntries" ref="A5:K505" headerRowCount="1" totalsRowCount="0" totalsRowShown="0">
  <x:tableColumns count="11">
    <x:tableColumn id="1" name="ID"/>
    <x:tableColumn id="2" name="Customer / payer"/>
    <x:tableColumn id="3" name="Check no. / reference"/>
    <x:tableColumn id="4" name="Method"/>
    <x:tableColumn id="5" name="Entry date"/>
    <x:tableColumn id="6" name="Expected cash date"/>
    <x:tableColumn id="7" name="Amount (AED)"/>
    <x:tableColumn id="8" name="Status"/>
    <x:tableColumn id="9" name="Actual cash date"/>
    <x:tableColumn id="10" name="Notes"/>
    <x:tableColumn id="11" name="A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penseEntries" displayName="ExpenseEntries" ref="A5:J505" headerRowCount="1" totalsRowCount="0" totalsRowShown="0">
  <x:tableColumns count="10">
    <x:tableColumn id="1" name="ID"/>
    <x:tableColumn id="2" name="Supplier / payee"/>
    <x:tableColumn id="3" name="Category"/>
    <x:tableColumn id="4" name="Description"/>
    <x:tableColumn id="5" name="Due date"/>
    <x:tableColumn id="6" name="Amount (AED)"/>
    <x:tableColumn id="7" name="Status"/>
    <x:tableColumn id="8" name="Paid date"/>
    <x:tableColumn id="9" name="Notes"/>
    <x:tableColumn id="10" name="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2e69027e6b049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af388a55227748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c963aa7166dc45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.33203125" style="27" customWidth="1"/>
    <x:col min="2" max="2" width="20" style="27" customWidth="1"/>
    <x:col min="3" max="5" width="11" style="27" customWidth="1"/>
    <x:col min="6" max="17" width="13" style="27" customWidth="1"/>
    <x:col min="18" max="16384" width="8.83203125" style="27" customWidth="0"/>
  </x:cols>
  <x:sheetData>
    <x:row r="2" ht="24" customHeight="1">
      <x:c r="B2" s="39" t="str">
        <x:v>Business Cash Flow Dashboard</x:v>
      </x:c>
      <x:c r="C2" s="39"/>
      <x:c r="D2" s="39"/>
      <x:c r="E2" s="39"/>
      <x:c r="F2" s="39"/>
      <x:c r="G2" s="39"/>
      <x:c r="H2" s="39"/>
      <x:c r="I2" s="39"/>
      <x:c r="J2" s="40" t="s">
        <x:v>0</x:v>
      </x:c>
      <x:c r="K2" s="41" t="s">
        <x:v>0</x:v>
      </x:c>
      <x:c r="L2" s="41" t="s">
        <x:v>0</x:v>
      </x:c>
      <x:c r="M2" s="42" t="s">
        <x:v>0</x:v>
      </x:c>
      <x:c r="N2" s="40" t="str">
        <x:v>AS-OF DATE</x:v>
      </x:c>
      <x:c r="O2" s="41" t="s">
        <x:v>1</x:v>
      </x:c>
      <x:c r="P2" s="41" t="s">
        <x:v>1</x:v>
      </x:c>
      <x:c r="Q2" s="42" t="s">
        <x:v>1</x:v>
      </x:c>
    </x:row>
    <x:row r="3" ht="24" customHeight="1">
      <x:c r="B3" s="38" t="str">
        <x:v>Incoming checks and expenses (AED)</x:v>
      </x:c>
      <x:c r="C3" s="38"/>
      <x:c r="D3" s="38"/>
      <x:c r="E3" s="38"/>
      <x:c r="F3" s="38"/>
      <x:c r="G3" s="38"/>
      <x:c r="H3" s="38"/>
      <x:c r="I3" s="38"/>
      <x:c r="J3" s="43" t="n">
        <x:f>'Data &amp; Targets'!$C$9</x:f>
        <x:v>46296</x:v>
      </x:c>
      <x:c r="K3" s="44"/>
      <x:c r="L3" s="44"/>
      <x:c r="M3" s="45"/>
      <x:c r="N3" s="112" t="n">
        <x:f>'Data &amp; Targets'!$C$10</x:f>
        <x:v>46299</x:v>
      </x:c>
      <x:c r="O3" s="44"/>
      <x:c r="P3" s="44"/>
      <x:c r="Q3" s="45"/>
    </x:row>
    <x:row r="4" ht="20" customHeight="1">
      <x:c r="B4" s="46" t="str">
        <x:f>IF(COUNTA('Incoming Checks'!$A$6:$J$505,'Expenses'!$A$6:$I$505)=0,"No transactions entered. Add income and expenses to begin.","Cash totals require actual cash dates. Review the Action columns for missing entries and overdue items.")</x:f>
        <x:v>No transactions entered. Add income and expenses to begin.</x:v>
      </x:c>
      <x:c r="C4" s="46"/>
      <x:c r="D4" s="46"/>
      <x:c r="E4" s="46"/>
      <x:c r="F4" s="46"/>
      <x:c r="G4" s="46"/>
      <x:c r="H4" s="46"/>
      <x:c r="I4" s="46"/>
      <x:c r="J4" s="46"/>
      <x:c r="K4" s="46"/>
      <x:c r="L4" s="46"/>
      <x:c r="M4" s="46"/>
      <x:c r="N4" s="46"/>
      <x:c r="O4" s="46"/>
      <x:c r="P4" s="46"/>
      <x:c r="Q4" s="46"/>
    </x:row>
    <x:row r="5" ht="20" customHeight="1">
      <x:c r="B5" s="47" t="str">
        <x:v>CASH IN</x:v>
      </x:c>
      <x:c r="C5" s="48" t="s">
        <x:v>2</x:v>
      </x:c>
      <x:c r="D5" s="48" t="s">
        <x:v>2</x:v>
      </x:c>
      <x:c r="E5" s="49" t="s">
        <x:v>2</x:v>
      </x:c>
      <x:c r="F5" s="47" t="str">
        <x:v>CASH OUT</x:v>
      </x:c>
      <x:c r="G5" s="48" t="s">
        <x:v>3</x:v>
      </x:c>
      <x:c r="H5" s="48" t="s">
        <x:v>3</x:v>
      </x:c>
      <x:c r="I5" s="49" t="s">
        <x:v>3</x:v>
      </x:c>
      <x:c r="J5" s="47" t="str">
        <x:v>NET CASH FLOW</x:v>
      </x:c>
      <x:c r="K5" s="48" t="s">
        <x:v>4</x:v>
      </x:c>
      <x:c r="L5" s="48" t="s">
        <x:v>4</x:v>
      </x:c>
      <x:c r="M5" s="49" t="s">
        <x:v>4</x:v>
      </x:c>
      <x:c r="N5" s="47" t="str">
        <x:v>PENDING CHECKS</x:v>
      </x:c>
      <x:c r="O5" s="48" t="s">
        <x:v>5</x:v>
      </x:c>
      <x:c r="P5" s="48" t="s">
        <x:v>5</x:v>
      </x:c>
      <x:c r="Q5" s="49" t="s">
        <x:v>5</x:v>
      </x:c>
    </x:row>
    <x:row r="6" ht="27" customHeight="1">
      <x:c r="B6" s="114" t="n">
        <x:f>'_Chart Helpers'!B2</x:f>
        <x:v>0</x:v>
      </x:c>
      <x:c r="C6" s="51"/>
      <x:c r="D6" s="51"/>
      <x:c r="E6" s="52"/>
      <x:c r="F6" s="114" t="n">
        <x:f>'_Chart Helpers'!B3</x:f>
        <x:v>0</x:v>
      </x:c>
      <x:c r="G6" s="51"/>
      <x:c r="H6" s="51"/>
      <x:c r="I6" s="52"/>
      <x:c r="J6" s="114" t="n">
        <x:f>'_Chart Helpers'!B4</x:f>
        <x:v>0</x:v>
      </x:c>
      <x:c r="K6" s="54"/>
      <x:c r="L6" s="54"/>
      <x:c r="M6" s="55"/>
      <x:c r="N6" s="116" t="n">
        <x:f>'_Chart Helpers'!B5</x:f>
        <x:v>0</x:v>
      </x:c>
      <x:c r="O6" s="54"/>
      <x:c r="P6" s="54"/>
      <x:c r="Q6" s="55"/>
    </x:row>
    <x:row r="7" ht="27" customHeight="1">
      <x:c r="B7" s="50"/>
      <x:c r="C7" s="51"/>
      <x:c r="D7" s="51"/>
      <x:c r="E7" s="52"/>
      <x:c r="F7" s="50"/>
      <x:c r="G7" s="51"/>
      <x:c r="H7" s="51"/>
      <x:c r="I7" s="52"/>
      <x:c r="J7" s="53"/>
      <x:c r="K7" s="54"/>
      <x:c r="L7" s="54"/>
      <x:c r="M7" s="55"/>
      <x:c r="N7" s="53"/>
      <x:c r="O7" s="54"/>
      <x:c r="P7" s="54"/>
      <x:c r="Q7" s="55"/>
    </x:row>
    <x:row r="8" ht="20" customHeight="1">
      <x:c r="B8" s="13" t="str">
        <x:v>Selected month</x:v>
      </x:c>
      <x:c r="C8" s="14"/>
      <x:c r="D8" s="15"/>
      <x:c r="E8" s="16"/>
      <x:c r="F8" s="13" t="str">
        <x:v>Selected month</x:v>
      </x:c>
      <x:c r="G8" s="14"/>
      <x:c r="H8" s="15"/>
      <x:c r="I8" s="16"/>
      <x:c r="J8" s="13" t="str">
        <x:v>Selected month</x:v>
      </x:c>
      <x:c r="K8" s="14"/>
      <x:c r="L8" s="15"/>
      <x:c r="M8" s="16"/>
      <x:c r="N8" s="13" t="str">
        <x:v>All open checks</x:v>
      </x:c>
      <x:c r="O8" s="14"/>
      <x:c r="P8" s="15"/>
      <x:c r="Q8" s="16"/>
    </x:row>
    <x:row r="9"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</x:row>
    <x:row r="10" ht="20" customHeight="1">
      <x:c r="B10" s="47" t="str">
        <x:v>OVERDUE CHECKS</x:v>
      </x:c>
      <x:c r="C10" s="48" t="s">
        <x:v>6</x:v>
      </x:c>
      <x:c r="D10" s="48" t="s">
        <x:v>6</x:v>
      </x:c>
      <x:c r="E10" s="49" t="s">
        <x:v>6</x:v>
      </x:c>
      <x:c r="F10" s="47" t="str">
        <x:v>PENDING INCOME</x:v>
      </x:c>
      <x:c r="G10" s="48" t="s">
        <x:v>7</x:v>
      </x:c>
      <x:c r="H10" s="48" t="s">
        <x:v>7</x:v>
      </x:c>
      <x:c r="I10" s="49" t="s">
        <x:v>7</x:v>
      </x:c>
      <x:c r="J10" s="47" t="str">
        <x:v>UNPAID EXPENSES</x:v>
      </x:c>
      <x:c r="K10" s="48" t="s">
        <x:v>8</x:v>
      </x:c>
      <x:c r="L10" s="48" t="s">
        <x:v>8</x:v>
      </x:c>
      <x:c r="M10" s="49" t="s">
        <x:v>8</x:v>
      </x:c>
      <x:c r="N10" s="47" t="str">
        <x:v>PLANNED NET</x:v>
      </x:c>
      <x:c r="O10" s="48" t="s">
        <x:v>9</x:v>
      </x:c>
      <x:c r="P10" s="48" t="s">
        <x:v>9</x:v>
      </x:c>
      <x:c r="Q10" s="49" t="s">
        <x:v>9</x:v>
      </x:c>
    </x:row>
    <x:row r="11" ht="27" customHeight="1">
      <x:c r="B11" s="116" t="n">
        <x:f>'_Chart Helpers'!B6</x:f>
        <x:v>0</x:v>
      </x:c>
      <x:c r="C11" s="79"/>
      <x:c r="D11" s="79"/>
      <x:c r="E11" s="80"/>
      <x:c r="F11" s="114" t="n">
        <x:f>'_Chart Helpers'!B7</x:f>
        <x:v>0</x:v>
      </x:c>
      <x:c r="G11" s="82"/>
      <x:c r="H11" s="82"/>
      <x:c r="I11" s="83"/>
      <x:c r="J11" s="114" t="n">
        <x:f>'_Chart Helpers'!B8</x:f>
        <x:v>0</x:v>
      </x:c>
      <x:c r="K11" s="54"/>
      <x:c r="L11" s="54"/>
      <x:c r="M11" s="55"/>
      <x:c r="N11" s="114" t="n">
        <x:f>'_Chart Helpers'!B9</x:f>
        <x:v>0</x:v>
      </x:c>
      <x:c r="O11" s="76"/>
      <x:c r="P11" s="76"/>
      <x:c r="Q11" s="77"/>
    </x:row>
    <x:row r="12" ht="27" customHeight="1">
      <x:c r="B12" s="78"/>
      <x:c r="C12" s="79"/>
      <x:c r="D12" s="79"/>
      <x:c r="E12" s="80"/>
      <x:c r="F12" s="81"/>
      <x:c r="G12" s="82"/>
      <x:c r="H12" s="82"/>
      <x:c r="I12" s="83"/>
      <x:c r="J12" s="53"/>
      <x:c r="K12" s="54"/>
      <x:c r="L12" s="54"/>
      <x:c r="M12" s="55"/>
      <x:c r="N12" s="75"/>
      <x:c r="O12" s="76"/>
      <x:c r="P12" s="76"/>
      <x:c r="Q12" s="77"/>
    </x:row>
    <x:row r="13" ht="20" customHeight="1">
      <x:c r="B13" s="13" t="str">
        <x:v>As of review date</x:v>
      </x:c>
      <x:c r="C13" s="14"/>
      <x:c r="D13" s="15"/>
      <x:c r="E13" s="16"/>
      <x:c r="F13" s="13" t="str">
        <x:v>All open income</x:v>
      </x:c>
      <x:c r="G13" s="14"/>
      <x:c r="H13" s="15"/>
      <x:c r="I13" s="16"/>
      <x:c r="J13" s="13" t="str">
        <x:v>All unpaid expenses</x:v>
      </x:c>
      <x:c r="K13" s="14"/>
      <x:c r="L13" s="15"/>
      <x:c r="M13" s="16"/>
      <x:c r="N13" s="13" t="str">
        <x:v>Selected month</x:v>
      </x:c>
      <x:c r="O13" s="14"/>
      <x:c r="P13" s="15"/>
      <x:c r="Q13" s="16"/>
    </x:row>
    <x:row r="14"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</x:row>
    <x:row r="15" ht="22" customHeight="1">
      <x:c r="B15" s="56" t="str">
        <x:v>MONTHLY CASH IN AND OUT (AED)</x:v>
      </x:c>
      <x:c r="C15" s="56" t="s">
        <x:v>10</x:v>
      </x:c>
      <x:c r="D15" s="56" t="s">
        <x:v>10</x:v>
      </x:c>
      <x:c r="E15" s="56" t="s">
        <x:v>10</x:v>
      </x:c>
      <x:c r="F15" s="56" t="s">
        <x:v>10</x:v>
      </x:c>
      <x:c r="G15" s="56" t="s">
        <x:v>10</x:v>
      </x:c>
      <x:c r="H15" s="56" t="s">
        <x:v>10</x:v>
      </x:c>
      <x:c r="I15" s="56" t="s">
        <x:v>10</x:v>
      </x:c>
      <x:c r="J15" s="56" t="str">
        <x:v>MONTHLY NET CASH FLOW (AED)</x:v>
      </x:c>
      <x:c r="K15" s="56" t="s">
        <x:v>11</x:v>
      </x:c>
      <x:c r="L15" s="56" t="s">
        <x:v>11</x:v>
      </x:c>
      <x:c r="M15" s="56" t="s">
        <x:v>11</x:v>
      </x:c>
      <x:c r="N15" s="56" t="s">
        <x:v>11</x:v>
      </x:c>
      <x:c r="O15" s="56" t="s">
        <x:v>11</x:v>
      </x:c>
      <x:c r="P15" s="56" t="s">
        <x:v>11</x:v>
      </x:c>
      <x:c r="Q15" s="56" t="s">
        <x:v>11</x:v>
      </x:c>
    </x:row>
    <x:row r="16"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</x:row>
    <x:row r="17"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</x:row>
    <x:row r="18"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</x:row>
    <x:row r="19"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</x:row>
    <x:row r="20"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</x:row>
    <x:row r="21"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</x:row>
    <x:row r="22"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</x:row>
    <x:row r="23"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</x:row>
    <x:row r="24"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</x:row>
    <x:row r="25"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</x:row>
    <x:row r="26"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</x:row>
    <x:row r="27"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</x:row>
    <x:row r="28"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</x:row>
    <x:row r="29" ht="22" customHeight="1">
      <x:c r="B29" s="56" t="str">
        <x:v>OPEN INCOME AND EXPENSES (AED)</x:v>
      </x:c>
      <x:c r="C29" s="56" t="s">
        <x:v>12</x:v>
      </x:c>
      <x:c r="D29" s="56" t="s">
        <x:v>12</x:v>
      </x:c>
      <x:c r="E29" s="56" t="s">
        <x:v>12</x:v>
      </x:c>
      <x:c r="F29" s="56" t="s">
        <x:v>12</x:v>
      </x:c>
      <x:c r="G29" s="56" t="s">
        <x:v>12</x:v>
      </x:c>
      <x:c r="H29" s="56" t="s">
        <x:v>12</x:v>
      </x:c>
      <x:c r="I29" s="56" t="s">
        <x:v>12</x:v>
      </x:c>
      <x:c r="J29" s="56" t="str">
        <x:v>PAID EXPENSES BY CATEGORY (AED)</x:v>
      </x:c>
      <x:c r="K29" s="56" t="s">
        <x:v>13</x:v>
      </x:c>
      <x:c r="L29" s="56" t="s">
        <x:v>13</x:v>
      </x:c>
      <x:c r="M29" s="56" t="s">
        <x:v>13</x:v>
      </x:c>
      <x:c r="N29" s="56" t="s">
        <x:v>13</x:v>
      </x:c>
      <x:c r="O29" s="56" t="s">
        <x:v>13</x:v>
      </x:c>
      <x:c r="P29" s="56" t="s">
        <x:v>13</x:v>
      </x:c>
      <x:c r="Q29" s="56" t="s">
        <x:v>13</x:v>
      </x:c>
    </x:row>
    <x:row r="30"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</x:row>
    <x:row r="31"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</x:row>
    <x:row r="32"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</x:row>
    <x:row r="33"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</x:row>
    <x:row r="34"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</x:row>
    <x:row r="35"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</x:row>
    <x:row r="36"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</x:row>
    <x:row r="37"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</x:row>
    <x:row r="38"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</x:row>
    <x:row r="39"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</x:row>
    <x:row r="40"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</x:row>
    <x:row r="41"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</x:row>
    <x:row r="42"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</x:row>
    <x:row r="43" ht="22" customHeight="1">
      <x:c r="B43" s="56" t="str">
        <x:v>SELECTED MONTH AND OPEN BALANCES (AED)</x:v>
      </x:c>
      <x:c r="C43" s="56" t="s">
        <x:v>14</x:v>
      </x:c>
      <x:c r="D43" s="56" t="s">
        <x:v>14</x:v>
      </x:c>
      <x:c r="E43" s="56" t="s">
        <x:v>14</x:v>
      </x:c>
      <x:c r="F43" s="56" t="s">
        <x:v>14</x:v>
      </x:c>
      <x:c r="G43" s="56" t="s">
        <x:v>14</x:v>
      </x:c>
      <x:c r="H43" s="56" t="s">
        <x:v>14</x:v>
      </x:c>
      <x:c r="I43" s="56" t="s">
        <x:v>14</x:v>
      </x:c>
      <x:c r="J43" s="56" t="s">
        <x:v>14</x:v>
      </x:c>
      <x:c r="K43" s="56" t="s">
        <x:v>14</x:v>
      </x:c>
      <x:c r="L43" s="56" t="s">
        <x:v>14</x:v>
      </x:c>
      <x:c r="M43" s="56" t="s">
        <x:v>14</x:v>
      </x:c>
      <x:c r="N43" s="56" t="s">
        <x:v>14</x:v>
      </x:c>
      <x:c r="O43" s="56" t="s">
        <x:v>14</x:v>
      </x:c>
      <x:c r="P43" s="56" t="s">
        <x:v>14</x:v>
      </x:c>
      <x:c r="Q43" s="56" t="s">
        <x:v>14</x:v>
      </x:c>
    </x:row>
    <x:row r="44" ht="26" customHeight="1">
      <x:c r="B44" s="123" t="str">
        <x:v>Measure</x:v>
      </x:c>
      <x:c r="C44" s="123" t="str">
        <x:v>Amount / count</x:v>
      </x:c>
      <x:c r="D44" s="17"/>
      <x:c r="E44" s="17"/>
      <x:c r="F44" s="17"/>
      <x:c r="G44" s="17"/>
      <x:c r="H44" s="17"/>
      <x:c r="I44" s="12"/>
      <x:c r="J44" s="12"/>
      <x:c r="K44" s="12"/>
      <x:c r="L44" s="12"/>
      <x:c r="M44" s="12"/>
      <x:c r="N44" s="12"/>
      <x:c r="O44" s="12"/>
      <x:c r="P44" s="12"/>
      <x:c r="Q44" s="12"/>
    </x:row>
    <x:row r="45">
      <x:c r="B45" s="124" t="str">
        <x:v>Cash in</x:v>
      </x:c>
      <x:c r="C45" s="126" t="n">
        <x:f>'_Chart Helpers'!B2</x:f>
        <x:v>0</x:v>
      </x:c>
      <x:c r="D45" s="20"/>
      <x:c r="E45" s="20"/>
      <x:c r="F45" s="20">
        <x:f t="shared" ref="F45:F52" si="0">D45-E45</x:f>
      </x:c>
      <x:c r="G45" s="21">
        <x:f t="shared" ref="G45:G52" si="1">IFERROR(D45/E45-1,"")</x:f>
      </x:c>
      <x:c r="H45" s="19"/>
      <x:c r="I45" s="12"/>
      <x:c r="J45" s="57" t="str">
        <x:v>Enter transactions in the yellow cells. Review Action for overdue items and missing dates.</x:v>
      </x:c>
      <x:c r="K45" s="58" t="s">
        <x:v>15</x:v>
      </x:c>
      <x:c r="L45" s="58" t="s">
        <x:v>15</x:v>
      </x:c>
      <x:c r="M45" s="58" t="s">
        <x:v>15</x:v>
      </x:c>
      <x:c r="N45" s="58" t="s">
        <x:v>15</x:v>
      </x:c>
      <x:c r="O45" s="58" t="s">
        <x:v>15</x:v>
      </x:c>
      <x:c r="P45" s="58" t="s">
        <x:v>15</x:v>
      </x:c>
      <x:c r="Q45" s="59" t="s">
        <x:v>15</x:v>
      </x:c>
    </x:row>
    <x:row r="46">
      <x:c r="B46" s="124" t="str">
        <x:v>Cash out</x:v>
      </x:c>
      <x:c r="C46" s="126" t="n">
        <x:f>'_Chart Helpers'!B3</x:f>
        <x:v>0</x:v>
      </x:c>
      <x:c r="D46" s="20"/>
      <x:c r="E46" s="20"/>
      <x:c r="F46" s="20">
        <x:f t="shared" si="0"/>
      </x:c>
      <x:c r="G46" s="21">
        <x:f t="shared" si="1"/>
      </x:c>
      <x:c r="H46" s="19"/>
      <x:c r="I46" s="12"/>
      <x:c r="J46" s="60" t="s">
        <x:v>15</x:v>
      </x:c>
      <x:c r="K46" s="61" t="s">
        <x:v>15</x:v>
      </x:c>
      <x:c r="L46" s="61" t="s">
        <x:v>15</x:v>
      </x:c>
      <x:c r="M46" s="61" t="s">
        <x:v>15</x:v>
      </x:c>
      <x:c r="N46" s="61" t="s">
        <x:v>15</x:v>
      </x:c>
      <x:c r="O46" s="61" t="s">
        <x:v>15</x:v>
      </x:c>
      <x:c r="P46" s="61" t="s">
        <x:v>15</x:v>
      </x:c>
      <x:c r="Q46" s="62" t="s">
        <x:v>15</x:v>
      </x:c>
    </x:row>
    <x:row r="47">
      <x:c r="B47" s="124" t="str">
        <x:v>Net cash flow</x:v>
      </x:c>
      <x:c r="C47" s="126" t="n">
        <x:f>'_Chart Helpers'!B4</x:f>
        <x:v>0</x:v>
      </x:c>
      <x:c r="D47" s="21"/>
      <x:c r="E47" s="21"/>
      <x:c r="F47" s="21">
        <x:f t="shared" si="0"/>
      </x:c>
      <x:c r="G47" s="21">
        <x:f t="shared" si="1"/>
      </x:c>
      <x:c r="H47" s="19"/>
      <x:c r="I47" s="12"/>
      <x:c r="J47" s="60" t="s">
        <x:v>15</x:v>
      </x:c>
      <x:c r="K47" s="61" t="s">
        <x:v>15</x:v>
      </x:c>
      <x:c r="L47" s="61" t="s">
        <x:v>15</x:v>
      </x:c>
      <x:c r="M47" s="61" t="s">
        <x:v>15</x:v>
      </x:c>
      <x:c r="N47" s="61" t="s">
        <x:v>15</x:v>
      </x:c>
      <x:c r="O47" s="61" t="s">
        <x:v>15</x:v>
      </x:c>
      <x:c r="P47" s="61" t="s">
        <x:v>15</x:v>
      </x:c>
      <x:c r="Q47" s="62" t="s">
        <x:v>15</x:v>
      </x:c>
    </x:row>
    <x:row r="48">
      <x:c r="B48" s="124" t="str">
        <x:v>Pending checks</x:v>
      </x:c>
      <x:c r="C48" s="127" t="n">
        <x:f>'_Chart Helpers'!B5</x:f>
        <x:v>0</x:v>
      </x:c>
      <x:c r="D48" s="21"/>
      <x:c r="E48" s="21"/>
      <x:c r="F48" s="21">
        <x:f t="shared" si="0"/>
      </x:c>
      <x:c r="G48" s="21">
        <x:f t="shared" si="1"/>
      </x:c>
      <x:c r="H48" s="19"/>
      <x:c r="I48" s="12"/>
      <x:c r="J48" s="63" t="s">
        <x:v>15</x:v>
      </x:c>
      <x:c r="K48" s="64" t="s">
        <x:v>15</x:v>
      </x:c>
      <x:c r="L48" s="64" t="s">
        <x:v>15</x:v>
      </x:c>
      <x:c r="M48" s="64" t="s">
        <x:v>15</x:v>
      </x:c>
      <x:c r="N48" s="64" t="s">
        <x:v>15</x:v>
      </x:c>
      <x:c r="O48" s="64" t="s">
        <x:v>15</x:v>
      </x:c>
      <x:c r="P48" s="64" t="s">
        <x:v>15</x:v>
      </x:c>
      <x:c r="Q48" s="65" t="s">
        <x:v>15</x:v>
      </x:c>
    </x:row>
    <x:row r="49">
      <x:c r="B49" s="124" t="str">
        <x:v>Overdue checks</x:v>
      </x:c>
      <x:c r="C49" s="127" t="n">
        <x:f>'_Chart Helpers'!B6</x:f>
        <x:v>0</x:v>
      </x:c>
      <x:c r="D49" s="22"/>
      <x:c r="E49" s="22"/>
      <x:c r="F49" s="22">
        <x:f t="shared" si="0"/>
      </x:c>
      <x:c r="G49" s="21">
        <x:f t="shared" si="1"/>
      </x:c>
      <x:c r="H49" s="19"/>
      <x:c r="I49" s="12"/>
      <x:c r="J49" s="12"/>
      <x:c r="K49" s="12"/>
      <x:c r="L49" s="12"/>
      <x:c r="M49" s="12"/>
      <x:c r="N49" s="12"/>
      <x:c r="O49" s="12"/>
      <x:c r="P49" s="12"/>
      <x:c r="Q49" s="12"/>
    </x:row>
    <x:row r="50">
      <x:c r="B50" s="124" t="str">
        <x:v>Pending income</x:v>
      </x:c>
      <x:c r="C50" s="126" t="n">
        <x:f>'_Chart Helpers'!B7</x:f>
        <x:v>0</x:v>
      </x:c>
      <x:c r="D50" s="23"/>
      <x:c r="E50" s="23"/>
      <x:c r="F50" s="23">
        <x:f t="shared" si="0"/>
      </x:c>
      <x:c r="G50" s="21">
        <x:f t="shared" si="1"/>
      </x:c>
      <x:c r="H50" s="19"/>
      <x:c r="I50" s="12"/>
      <x:c r="J50" s="66" t="str">
        <x:v>Pending and unpaid totals cover all dates. Monthly cash flow uses actual cash dates.</x:v>
      </x:c>
      <x:c r="K50" s="67" t="s">
        <x:v>16</x:v>
      </x:c>
      <x:c r="L50" s="67" t="s">
        <x:v>16</x:v>
      </x:c>
      <x:c r="M50" s="67" t="s">
        <x:v>16</x:v>
      </x:c>
      <x:c r="N50" s="67" t="s">
        <x:v>16</x:v>
      </x:c>
      <x:c r="O50" s="67" t="s">
        <x:v>16</x:v>
      </x:c>
      <x:c r="P50" s="67" t="s">
        <x:v>16</x:v>
      </x:c>
      <x:c r="Q50" s="68" t="s">
        <x:v>16</x:v>
      </x:c>
    </x:row>
    <x:row r="51">
      <x:c r="B51" s="124" t="str">
        <x:v>Unpaid expenses</x:v>
      </x:c>
      <x:c r="C51" s="126" t="n">
        <x:f>'_Chart Helpers'!B8</x:f>
        <x:v>0</x:v>
      </x:c>
      <x:c r="D51" s="21"/>
      <x:c r="E51" s="21"/>
      <x:c r="F51" s="21">
        <x:f t="shared" si="0"/>
      </x:c>
      <x:c r="G51" s="21">
        <x:f t="shared" si="1"/>
      </x:c>
      <x:c r="H51" s="19"/>
      <x:c r="I51" s="12"/>
      <x:c r="J51" s="69" t="s">
        <x:v>16</x:v>
      </x:c>
      <x:c r="K51" s="70" t="s">
        <x:v>16</x:v>
      </x:c>
      <x:c r="L51" s="70" t="s">
        <x:v>16</x:v>
      </x:c>
      <x:c r="M51" s="70" t="s">
        <x:v>16</x:v>
      </x:c>
      <x:c r="N51" s="70" t="s">
        <x:v>16</x:v>
      </x:c>
      <x:c r="O51" s="70" t="s">
        <x:v>16</x:v>
      </x:c>
      <x:c r="P51" s="70" t="s">
        <x:v>16</x:v>
      </x:c>
      <x:c r="Q51" s="71" t="s">
        <x:v>16</x:v>
      </x:c>
    </x:row>
    <x:row r="52">
      <x:c r="B52" s="124" t="str">
        <x:v>Planned net</x:v>
      </x:c>
      <x:c r="C52" s="126" t="n">
        <x:f>'_Chart Helpers'!B9</x:f>
        <x:v>0</x:v>
      </x:c>
      <x:c r="D52" s="24"/>
      <x:c r="E52" s="24"/>
      <x:c r="F52" s="24">
        <x:f t="shared" si="0"/>
      </x:c>
      <x:c r="G52" s="21">
        <x:f t="shared" si="1"/>
      </x:c>
      <x:c r="H52" s="19"/>
      <x:c r="I52" s="12"/>
      <x:c r="J52" s="72" t="s">
        <x:v>16</x:v>
      </x:c>
      <x:c r="K52" s="73" t="s">
        <x:v>16</x:v>
      </x:c>
      <x:c r="L52" s="73" t="s">
        <x:v>16</x:v>
      </x:c>
      <x:c r="M52" s="73" t="s">
        <x:v>16</x:v>
      </x:c>
      <x:c r="N52" s="73" t="s">
        <x:v>16</x:v>
      </x:c>
      <x:c r="O52" s="73" t="s">
        <x:v>16</x:v>
      </x:c>
      <x:c r="P52" s="73" t="s">
        <x:v>16</x:v>
      </x:c>
      <x:c r="Q52" s="74" t="s">
        <x:v>16</x:v>
      </x:c>
    </x:row>
    <x:row r="53"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</x:row>
  </x:sheetData>
  <x:mergeCells>
    <x:mergeCell ref="J11:M12"/>
    <x:mergeCell ref="N5:Q5"/>
    <x:mergeCell ref="N6:Q7"/>
    <x:mergeCell ref="B43:Q43"/>
    <x:mergeCell ref="J45:Q48"/>
    <x:mergeCell ref="J50:Q52"/>
    <x:mergeCell ref="N10:Q10"/>
    <x:mergeCell ref="N11:Q12"/>
    <x:mergeCell ref="B15:I15"/>
    <x:mergeCell ref="J15:Q15"/>
    <x:mergeCell ref="B29:I29"/>
    <x:mergeCell ref="J29:Q29"/>
    <x:mergeCell ref="B10:E10"/>
    <x:mergeCell ref="B11:E12"/>
    <x:mergeCell ref="F10:I10"/>
    <x:mergeCell ref="F11:I12"/>
    <x:mergeCell ref="J10:M10"/>
    <x:mergeCell ref="B5:E5"/>
    <x:mergeCell ref="B6:E7"/>
    <x:mergeCell ref="F5:I5"/>
    <x:mergeCell ref="F6:I7"/>
    <x:mergeCell ref="J5:M5"/>
    <x:mergeCell ref="J6:M7"/>
    <x:mergeCell ref="J2:M2"/>
    <x:mergeCell ref="J3:M3"/>
    <x:mergeCell ref="N2:Q2"/>
    <x:mergeCell ref="N3:Q3"/>
    <x:mergeCell ref="B4:Q4"/>
    <x:mergeCell ref="C44:E44"/>
    <x:mergeCell ref="C45:E45"/>
    <x:mergeCell ref="C46:E46"/>
    <x:mergeCell ref="C47:E47"/>
    <x:mergeCell ref="C48:E48"/>
    <x:mergeCell ref="C49:E49"/>
    <x:mergeCell ref="C50:E50"/>
    <x:mergeCell ref="C51:E51"/>
    <x:mergeCell ref="C52:E52"/>
  </x:mergeCells>
  <x:conditionalFormatting sqref="H45:H52">
    <x:cfRule type="containsText" dxfId="2" priority="1" operator="containsText" text="Favorable"/>
    <x:cfRule type="containsText" dxfId="1" priority="2" operator="containsText" text="Watch"/>
    <x:cfRule type="containsText" dxfId="0" priority="3" operator="containsText" text="Unfavorable"/>
  </x:conditionalFormatting>
  <x:pageMargins left="0.7" right="0.7" top="0.75" bottom="0.75" header="0.3" footer="0.3"/>
  <x:drawing xmlns:r="http://schemas.openxmlformats.org/officeDocument/2006/relationships" r:id="R92e69027e6b0494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.33203125" style="27" customWidth="1"/>
    <x:col min="2" max="4" width="15" style="27" customWidth="1"/>
    <x:col min="5" max="5" width="17" style="27" customWidth="1"/>
    <x:col min="6" max="6" width="18" style="27" customWidth="1"/>
    <x:col min="7" max="8" width="15" style="27" customWidth="1"/>
    <x:col min="9" max="9" width="14" style="27" customWidth="1"/>
    <x:col min="10" max="10" width="16" style="27" customWidth="1"/>
    <x:col min="11" max="11" width="15" style="27" customWidth="1"/>
    <x:col min="12" max="15" width="16" style="27" customWidth="1"/>
    <x:col min="16" max="16" width="15" style="27" customWidth="1"/>
    <x:col min="17" max="16384" width="8.83203125" style="27" customWidth="0"/>
  </x:cols>
  <x:sheetData>
    <x:row r="2" ht="26" customHeight="1">
      <x:c r="B2" s="36" t="str">
        <x:v>Business Cash Flow Dashboard</x:v>
      </x:c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</x:row>
    <x:row r="3" ht="26" customHeight="1">
      <x:c r="B3" s="38" t="str">
        <x:v>Controls and monthly cash flow (AED)</x:v>
      </x:c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</x:row>
    <x:row r="4"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</x:row>
    <x:row r="5" ht="22" customHeight="1">
      <x:c r="B5" s="87" t="str">
        <x:v>HOW TO USE</x:v>
      </x:c>
      <x:c r="C5" s="87"/>
      <x:c r="D5" s="87"/>
      <x:c r="E5" s="87"/>
      <x:c r="F5" s="87"/>
      <x:c r="G5" s="87"/>
      <x:c r="H5" s="87"/>
      <x:c r="I5" s="87"/>
      <x:c r="J5" s="87"/>
      <x:c r="K5" s="87"/>
      <x:c r="L5" s="87"/>
      <x:c r="M5" s="87"/>
      <x:c r="N5" s="87"/>
      <x:c r="O5" s="87"/>
      <x:c r="P5" s="87"/>
    </x:row>
    <x:row r="6" ht="22" customHeight="1">
      <x:c r="B6" s="88" t="str">
        <x:v>Enter checks and other income on Incoming Checks. Enter outgoing payments on Expenses. Use positive amounts.</x:v>
      </x:c>
      <x:c r="C6" s="88"/>
      <x:c r="D6" s="88"/>
      <x:c r="E6" s="88"/>
      <x:c r="F6" s="88"/>
      <x:c r="G6" s="88"/>
      <x:c r="H6" s="88"/>
      <x:c r="I6" s="88"/>
      <x:c r="J6" s="88"/>
      <x:c r="K6" s="88"/>
      <x:c r="L6" s="88"/>
      <x:c r="M6" s="88"/>
      <x:c r="N6" s="88"/>
      <x:c r="O6" s="88"/>
      <x:c r="P6" s="88"/>
    </x:row>
    <x:row r="7" ht="22" customHeight="1">
      <x:c r="B7" s="88" t="str">
        <x:v>Only Cleared income and Paid expenses count as cash. Enter the actual cash date. Each row is one full payment.</x:v>
      </x:c>
      <x:c r="C7" s="88"/>
      <x:c r="D7" s="88"/>
      <x:c r="E7" s="88"/>
      <x:c r="F7" s="88"/>
      <x:c r="G7" s="88"/>
      <x:c r="H7" s="88"/>
      <x:c r="I7" s="88"/>
      <x:c r="J7" s="88"/>
      <x:c r="K7" s="88"/>
      <x:c r="L7" s="88"/>
      <x:c r="M7" s="88"/>
      <x:c r="N7" s="88"/>
      <x:c r="O7" s="88"/>
      <x:c r="P7" s="88"/>
    </x:row>
    <x:row r="8"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</x:row>
    <x:row r="9">
      <x:c r="B9" s="1" t="str">
        <x:v>Selected month</x:v>
      </x:c>
      <x:c r="C9" s="89" t="n">
        <x:v>46296</x:v>
      </x:c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</x:row>
    <x:row r="10" ht="26">
      <x:c r="B10" s="1" t="str">
        <x:v>As-of date</x:v>
      </x:c>
      <x:c r="C10" s="118" t="n">
        <x:v>46299</x:v>
      </x:c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</x:row>
    <x:row r="11">
      <x:c r="B11" s="1" t="str">
        <x:v>Basis</x:v>
      </x:c>
      <x:c r="C11" s="84" t="str">
        <x:v>AED. Blank starter. Pending checks are expected income, not cash. Update the as-of date when reviewing.</x:v>
      </x:c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84"/>
      <x:c r="P11" s="84"/>
    </x:row>
    <x:row r="12"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</x:row>
    <x:row r="13" ht="22" customHeight="1">
      <x:c r="B13" s="85" t="str">
        <x:v>MONTHLY CASH FLOW (AED)</x:v>
      </x:c>
      <x:c r="C13" s="85"/>
      <x:c r="D13" s="85"/>
      <x:c r="E13" s="85"/>
      <x:c r="F13" s="85"/>
      <x:c r="G13" s="85"/>
      <x:c r="H13" s="85"/>
      <x:c r="I13" s="85"/>
      <x:c r="J13" s="85"/>
      <x:c r="K13" s="85"/>
      <x:c r="L13" s="85"/>
      <x:c r="M13" s="85"/>
      <x:c r="N13" s="85"/>
      <x:c r="O13" s="85"/>
      <x:c r="P13" s="85"/>
    </x:row>
    <x:row r="14"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</x:row>
    <x:row r="15" ht="36" customHeight="1">
      <x:c r="B15" s="91" t="str">
        <x:v>Month</x:v>
      </x:c>
      <x:c r="C15" s="91" t="str">
        <x:v>Cash in</x:v>
      </x:c>
      <x:c r="D15" s="91" t="str">
        <x:v>Cash out</x:v>
      </x:c>
      <x:c r="E15" s="91" t="str">
        <x:v>Net cash flow</x:v>
      </x:c>
      <x:c r="F15" s="91" t="str">
        <x:v>Pending in due</x:v>
      </x:c>
      <x:c r="G15" s="91" t="str">
        <x:v>Unpaid due</x:v>
      </x:c>
      <x:c r="H15" s="91" t="str">
        <x:v>Planned net</x:v>
      </x:c>
      <x:c r="I15" s="91" t="str">
        <x:v>Checks cleared</x:v>
      </x:c>
      <x:c r="J15" s="91" t="str">
        <x:v>Checks pending</x:v>
      </x:c>
      <x:c r="K15" s="91" t="str">
        <x:v>Checks overdue</x:v>
      </x:c>
      <x:c r="L15" s="91" t="str">
        <x:v>Expenses overdue</x:v>
      </x:c>
      <x:c r="M15" s="91" t="str">
        <x:v>Pending total</x:v>
      </x:c>
      <x:c r="N15" s="91" t="str">
        <x:v>Unpaid total</x:v>
      </x:c>
      <x:c r="O15" s="91" t="str">
        <x:v>In next 30 days</x:v>
      </x:c>
      <x:c r="P15" s="91" t="str">
        <x:v>Out next 30 days</x:v>
      </x:c>
    </x:row>
    <x:row r="16">
      <x:c r="B16" s="122" t="n">
        <x:f>DATE(YEAR($C$9),1,1)</x:f>
        <x:v>46023</x:v>
      </x:c>
      <x:c r="C16" s="120" t="n">
        <x:f>SUMIFS('Incoming Checks'!$G$6:$G$505,'Incoming Checks'!$I$6:$I$505,"&gt;="&amp;B16,'Incoming Checks'!$I$6:$I$505,"&lt;"&amp;EDATE(B16,1),'Incoming Checks'!$H$6:$H$505,"Cleared")</x:f>
        <x:v>0</x:v>
      </x:c>
      <x:c r="D16" s="120" t="n">
        <x:f>SUMIFS('Expenses'!$F$6:$F$505,'Expenses'!$H$6:$H$505,"&gt;="&amp;B16,'Expenses'!$H$6:$H$505,"&lt;"&amp;EDATE(B16,1),'Expenses'!$G$6:$G$505,"Paid")</x:f>
        <x:v>0</x:v>
      </x:c>
      <x:c r="E16" s="120" t="n">
        <x:f>C16-D16</x:f>
        <x:v>0</x:v>
      </x:c>
      <x:c r="F16" s="120" t="n">
        <x:f>SUMIFS('Incoming Checks'!$G$6:$G$505,'Incoming Checks'!$F$6:$F$505,"&gt;="&amp;B16,'Incoming Checks'!$F$6:$F$505,"&lt;"&amp;EDATE(B16,1),'Incoming Checks'!$H$6:$H$505,"Pending")</x:f>
        <x:v>0</x:v>
      </x:c>
      <x:c r="G16" s="120" t="n">
        <x:f>SUMIFS('Expenses'!$F$6:$F$505,'Expenses'!$E$6:$E$505,"&gt;="&amp;B16,'Expenses'!$E$6:$E$505,"&lt;"&amp;EDATE(B16,1),'Expenses'!$G$6:$G$505,"Unpaid")</x:f>
        <x:v>0</x:v>
      </x:c>
      <x:c r="H16" s="120" t="n">
        <x:f>E16+F16-G16</x:f>
        <x:v>0</x:v>
      </x:c>
      <x:c r="I16" s="121" t="n">
        <x:f>COUNTIFS('Incoming Checks'!$D$6:$D$505,"Check",'Incoming Checks'!$H$6:$H$505,"Cleared",'Incoming Checks'!$I$6:$I$505,"&gt;="&amp;B16,'Incoming Checks'!$I$6:$I$505,"&lt;"&amp;EDATE(B16,1))</x:f>
        <x:v>0</x:v>
      </x:c>
      <x:c r="J16" s="121" t="n">
        <x:f>COUNTIFS('Incoming Checks'!$D$6:$D$505,"Check",'Incoming Checks'!$H$6:$H$505,"Pending")</x:f>
        <x:v>0</x:v>
      </x:c>
      <x:c r="K16" s="121" t="n">
        <x:f>COUNTIFS('Incoming Checks'!$D$6:$D$505,"Check",'Incoming Checks'!$K$6:$K$505,"Overdue")</x:f>
        <x:v>0</x:v>
      </x:c>
      <x:c r="L16" s="121" t="n">
        <x:f>COUNTIFS('Expenses'!$J$6:$J$505,"Overdue")</x:f>
        <x:v>0</x:v>
      </x:c>
      <x:c r="M16" s="120" t="n">
        <x:f>SUMIFS('Incoming Checks'!$G$6:$G$505,'Incoming Checks'!$H$6:$H$505,"Pending")</x:f>
        <x:v>0</x:v>
      </x:c>
      <x:c r="N16" s="120" t="n">
        <x:f>SUMIFS('Expenses'!$F$6:$F$505,'Expenses'!$G$6:$G$505,"Unpaid")</x:f>
        <x:v>0</x:v>
      </x:c>
      <x:c r="O16" s="120" t="n">
        <x:f>SUMIFS('Incoming Checks'!$G$6:$G$505,'Incoming Checks'!$F$6:$F$505,"&gt;="&amp;$C$10,'Incoming Checks'!$F$6:$F$505,"&lt;"&amp;$C$10+30,'Incoming Checks'!$H$6:$H$505,"Pending")</x:f>
        <x:v>0</x:v>
      </x:c>
      <x:c r="P16" s="120" t="n">
        <x:f>SUMIFS('Expenses'!$F$6:$F$505,'Expenses'!$E$6:$E$505,"&gt;="&amp;$C$10,'Expenses'!$E$6:$E$505,"&lt;"&amp;$C$10+30,'Expenses'!$G$6:$G$505,"Unpaid")</x:f>
        <x:v>0</x:v>
      </x:c>
    </x:row>
    <x:row r="17">
      <x:c r="B17" s="122" t="n">
        <x:f>DATE(YEAR($C$9),2,1)</x:f>
        <x:v>46054</x:v>
      </x:c>
      <x:c r="C17" s="120" t="n">
        <x:f>SUMIFS('Incoming Checks'!$G$6:$G$505,'Incoming Checks'!$I$6:$I$505,"&gt;="&amp;B17,'Incoming Checks'!$I$6:$I$505,"&lt;"&amp;EDATE(B17,1),'Incoming Checks'!$H$6:$H$505,"Cleared")</x:f>
        <x:v>0</x:v>
      </x:c>
      <x:c r="D17" s="120" t="n">
        <x:f>SUMIFS('Expenses'!$F$6:$F$505,'Expenses'!$H$6:$H$505,"&gt;="&amp;B17,'Expenses'!$H$6:$H$505,"&lt;"&amp;EDATE(B17,1),'Expenses'!$G$6:$G$505,"Paid")</x:f>
        <x:v>0</x:v>
      </x:c>
      <x:c r="E17" s="120" t="n">
        <x:f>C17-D17</x:f>
        <x:v>0</x:v>
      </x:c>
      <x:c r="F17" s="120" t="n">
        <x:f>SUMIFS('Incoming Checks'!$G$6:$G$505,'Incoming Checks'!$F$6:$F$505,"&gt;="&amp;B17,'Incoming Checks'!$F$6:$F$505,"&lt;"&amp;EDATE(B17,1),'Incoming Checks'!$H$6:$H$505,"Pending")</x:f>
        <x:v>0</x:v>
      </x:c>
      <x:c r="G17" s="120" t="n">
        <x:f>SUMIFS('Expenses'!$F$6:$F$505,'Expenses'!$E$6:$E$505,"&gt;="&amp;B17,'Expenses'!$E$6:$E$505,"&lt;"&amp;EDATE(B17,1),'Expenses'!$G$6:$G$505,"Unpaid")</x:f>
        <x:v>0</x:v>
      </x:c>
      <x:c r="H17" s="120" t="n">
        <x:f>E17+F17-G17</x:f>
        <x:v>0</x:v>
      </x:c>
      <x:c r="I17" s="121" t="n">
        <x:f>COUNTIFS('Incoming Checks'!$D$6:$D$505,"Check",'Incoming Checks'!$H$6:$H$505,"Cleared",'Incoming Checks'!$I$6:$I$505,"&gt;="&amp;B17,'Incoming Checks'!$I$6:$I$505,"&lt;"&amp;EDATE(B17,1))</x:f>
        <x:v>0</x:v>
      </x:c>
      <x:c r="J17" s="121" t="n">
        <x:f>COUNTIFS('Incoming Checks'!$D$6:$D$505,"Check",'Incoming Checks'!$H$6:$H$505,"Pending")</x:f>
        <x:v>0</x:v>
      </x:c>
      <x:c r="K17" s="121" t="n">
        <x:f>COUNTIFS('Incoming Checks'!$D$6:$D$505,"Check",'Incoming Checks'!$K$6:$K$505,"Overdue")</x:f>
        <x:v>0</x:v>
      </x:c>
      <x:c r="L17" s="121" t="n">
        <x:f>COUNTIFS('Expenses'!$J$6:$J$505,"Overdue")</x:f>
        <x:v>0</x:v>
      </x:c>
      <x:c r="M17" s="120" t="n">
        <x:f>SUMIFS('Incoming Checks'!$G$6:$G$505,'Incoming Checks'!$H$6:$H$505,"Pending")</x:f>
        <x:v>0</x:v>
      </x:c>
      <x:c r="N17" s="120" t="n">
        <x:f>SUMIFS('Expenses'!$F$6:$F$505,'Expenses'!$G$6:$G$505,"Unpaid")</x:f>
        <x:v>0</x:v>
      </x:c>
      <x:c r="O17" s="120" t="n">
        <x:f>SUMIFS('Incoming Checks'!$G$6:$G$505,'Incoming Checks'!$F$6:$F$505,"&gt;="&amp;$C$10,'Incoming Checks'!$F$6:$F$505,"&lt;"&amp;$C$10+30,'Incoming Checks'!$H$6:$H$505,"Pending")</x:f>
        <x:v>0</x:v>
      </x:c>
      <x:c r="P17" s="120" t="n">
        <x:f>SUMIFS('Expenses'!$F$6:$F$505,'Expenses'!$E$6:$E$505,"&gt;="&amp;$C$10,'Expenses'!$E$6:$E$505,"&lt;"&amp;$C$10+30,'Expenses'!$G$6:$G$505,"Unpaid")</x:f>
        <x:v>0</x:v>
      </x:c>
    </x:row>
    <x:row r="18">
      <x:c r="B18" s="122" t="n">
        <x:f>DATE(YEAR($C$9),3,1)</x:f>
        <x:v>46082</x:v>
      </x:c>
      <x:c r="C18" s="120" t="n">
        <x:f>SUMIFS('Incoming Checks'!$G$6:$G$505,'Incoming Checks'!$I$6:$I$505,"&gt;="&amp;B18,'Incoming Checks'!$I$6:$I$505,"&lt;"&amp;EDATE(B18,1),'Incoming Checks'!$H$6:$H$505,"Cleared")</x:f>
        <x:v>0</x:v>
      </x:c>
      <x:c r="D18" s="120" t="n">
        <x:f>SUMIFS('Expenses'!$F$6:$F$505,'Expenses'!$H$6:$H$505,"&gt;="&amp;B18,'Expenses'!$H$6:$H$505,"&lt;"&amp;EDATE(B18,1),'Expenses'!$G$6:$G$505,"Paid")</x:f>
        <x:v>0</x:v>
      </x:c>
      <x:c r="E18" s="120" t="n">
        <x:f>C18-D18</x:f>
        <x:v>0</x:v>
      </x:c>
      <x:c r="F18" s="120" t="n">
        <x:f>SUMIFS('Incoming Checks'!$G$6:$G$505,'Incoming Checks'!$F$6:$F$505,"&gt;="&amp;B18,'Incoming Checks'!$F$6:$F$505,"&lt;"&amp;EDATE(B18,1),'Incoming Checks'!$H$6:$H$505,"Pending")</x:f>
        <x:v>0</x:v>
      </x:c>
      <x:c r="G18" s="120" t="n">
        <x:f>SUMIFS('Expenses'!$F$6:$F$505,'Expenses'!$E$6:$E$505,"&gt;="&amp;B18,'Expenses'!$E$6:$E$505,"&lt;"&amp;EDATE(B18,1),'Expenses'!$G$6:$G$505,"Unpaid")</x:f>
        <x:v>0</x:v>
      </x:c>
      <x:c r="H18" s="120" t="n">
        <x:f>E18+F18-G18</x:f>
        <x:v>0</x:v>
      </x:c>
      <x:c r="I18" s="121" t="n">
        <x:f>COUNTIFS('Incoming Checks'!$D$6:$D$505,"Check",'Incoming Checks'!$H$6:$H$505,"Cleared",'Incoming Checks'!$I$6:$I$505,"&gt;="&amp;B18,'Incoming Checks'!$I$6:$I$505,"&lt;"&amp;EDATE(B18,1))</x:f>
        <x:v>0</x:v>
      </x:c>
      <x:c r="J18" s="121" t="n">
        <x:f>COUNTIFS('Incoming Checks'!$D$6:$D$505,"Check",'Incoming Checks'!$H$6:$H$505,"Pending")</x:f>
        <x:v>0</x:v>
      </x:c>
      <x:c r="K18" s="121" t="n">
        <x:f>COUNTIFS('Incoming Checks'!$D$6:$D$505,"Check",'Incoming Checks'!$K$6:$K$505,"Overdue")</x:f>
        <x:v>0</x:v>
      </x:c>
      <x:c r="L18" s="121" t="n">
        <x:f>COUNTIFS('Expenses'!$J$6:$J$505,"Overdue")</x:f>
        <x:v>0</x:v>
      </x:c>
      <x:c r="M18" s="120" t="n">
        <x:f>SUMIFS('Incoming Checks'!$G$6:$G$505,'Incoming Checks'!$H$6:$H$505,"Pending")</x:f>
        <x:v>0</x:v>
      </x:c>
      <x:c r="N18" s="120" t="n">
        <x:f>SUMIFS('Expenses'!$F$6:$F$505,'Expenses'!$G$6:$G$505,"Unpaid")</x:f>
        <x:v>0</x:v>
      </x:c>
      <x:c r="O18" s="120" t="n">
        <x:f>SUMIFS('Incoming Checks'!$G$6:$G$505,'Incoming Checks'!$F$6:$F$505,"&gt;="&amp;$C$10,'Incoming Checks'!$F$6:$F$505,"&lt;"&amp;$C$10+30,'Incoming Checks'!$H$6:$H$505,"Pending")</x:f>
        <x:v>0</x:v>
      </x:c>
      <x:c r="P18" s="120" t="n">
        <x:f>SUMIFS('Expenses'!$F$6:$F$505,'Expenses'!$E$6:$E$505,"&gt;="&amp;$C$10,'Expenses'!$E$6:$E$505,"&lt;"&amp;$C$10+30,'Expenses'!$G$6:$G$505,"Unpaid")</x:f>
        <x:v>0</x:v>
      </x:c>
    </x:row>
    <x:row r="19">
      <x:c r="B19" s="122" t="n">
        <x:f>DATE(YEAR($C$9),4,1)</x:f>
        <x:v>46113</x:v>
      </x:c>
      <x:c r="C19" s="120" t="n">
        <x:f>SUMIFS('Incoming Checks'!$G$6:$G$505,'Incoming Checks'!$I$6:$I$505,"&gt;="&amp;B19,'Incoming Checks'!$I$6:$I$505,"&lt;"&amp;EDATE(B19,1),'Incoming Checks'!$H$6:$H$505,"Cleared")</x:f>
        <x:v>0</x:v>
      </x:c>
      <x:c r="D19" s="120" t="n">
        <x:f>SUMIFS('Expenses'!$F$6:$F$505,'Expenses'!$H$6:$H$505,"&gt;="&amp;B19,'Expenses'!$H$6:$H$505,"&lt;"&amp;EDATE(B19,1),'Expenses'!$G$6:$G$505,"Paid")</x:f>
        <x:v>0</x:v>
      </x:c>
      <x:c r="E19" s="120" t="n">
        <x:f>C19-D19</x:f>
        <x:v>0</x:v>
      </x:c>
      <x:c r="F19" s="120" t="n">
        <x:f>SUMIFS('Incoming Checks'!$G$6:$G$505,'Incoming Checks'!$F$6:$F$505,"&gt;="&amp;B19,'Incoming Checks'!$F$6:$F$505,"&lt;"&amp;EDATE(B19,1),'Incoming Checks'!$H$6:$H$505,"Pending")</x:f>
        <x:v>0</x:v>
      </x:c>
      <x:c r="G19" s="120" t="n">
        <x:f>SUMIFS('Expenses'!$F$6:$F$505,'Expenses'!$E$6:$E$505,"&gt;="&amp;B19,'Expenses'!$E$6:$E$505,"&lt;"&amp;EDATE(B19,1),'Expenses'!$G$6:$G$505,"Unpaid")</x:f>
        <x:v>0</x:v>
      </x:c>
      <x:c r="H19" s="120" t="n">
        <x:f>E19+F19-G19</x:f>
        <x:v>0</x:v>
      </x:c>
      <x:c r="I19" s="121" t="n">
        <x:f>COUNTIFS('Incoming Checks'!$D$6:$D$505,"Check",'Incoming Checks'!$H$6:$H$505,"Cleared",'Incoming Checks'!$I$6:$I$505,"&gt;="&amp;B19,'Incoming Checks'!$I$6:$I$505,"&lt;"&amp;EDATE(B19,1))</x:f>
        <x:v>0</x:v>
      </x:c>
      <x:c r="J19" s="121" t="n">
        <x:f>COUNTIFS('Incoming Checks'!$D$6:$D$505,"Check",'Incoming Checks'!$H$6:$H$505,"Pending")</x:f>
        <x:v>0</x:v>
      </x:c>
      <x:c r="K19" s="121" t="n">
        <x:f>COUNTIFS('Incoming Checks'!$D$6:$D$505,"Check",'Incoming Checks'!$K$6:$K$505,"Overdue")</x:f>
        <x:v>0</x:v>
      </x:c>
      <x:c r="L19" s="121" t="n">
        <x:f>COUNTIFS('Expenses'!$J$6:$J$505,"Overdue")</x:f>
        <x:v>0</x:v>
      </x:c>
      <x:c r="M19" s="120" t="n">
        <x:f>SUMIFS('Incoming Checks'!$G$6:$G$505,'Incoming Checks'!$H$6:$H$505,"Pending")</x:f>
        <x:v>0</x:v>
      </x:c>
      <x:c r="N19" s="120" t="n">
        <x:f>SUMIFS('Expenses'!$F$6:$F$505,'Expenses'!$G$6:$G$505,"Unpaid")</x:f>
        <x:v>0</x:v>
      </x:c>
      <x:c r="O19" s="120" t="n">
        <x:f>SUMIFS('Incoming Checks'!$G$6:$G$505,'Incoming Checks'!$F$6:$F$505,"&gt;="&amp;$C$10,'Incoming Checks'!$F$6:$F$505,"&lt;"&amp;$C$10+30,'Incoming Checks'!$H$6:$H$505,"Pending")</x:f>
        <x:v>0</x:v>
      </x:c>
      <x:c r="P19" s="120" t="n">
        <x:f>SUMIFS('Expenses'!$F$6:$F$505,'Expenses'!$E$6:$E$505,"&gt;="&amp;$C$10,'Expenses'!$E$6:$E$505,"&lt;"&amp;$C$10+30,'Expenses'!$G$6:$G$505,"Unpaid")</x:f>
        <x:v>0</x:v>
      </x:c>
    </x:row>
    <x:row r="20">
      <x:c r="B20" s="122" t="n">
        <x:f>DATE(YEAR($C$9),5,1)</x:f>
        <x:v>46143</x:v>
      </x:c>
      <x:c r="C20" s="120" t="n">
        <x:f>SUMIFS('Incoming Checks'!$G$6:$G$505,'Incoming Checks'!$I$6:$I$505,"&gt;="&amp;B20,'Incoming Checks'!$I$6:$I$505,"&lt;"&amp;EDATE(B20,1),'Incoming Checks'!$H$6:$H$505,"Cleared")</x:f>
        <x:v>0</x:v>
      </x:c>
      <x:c r="D20" s="120" t="n">
        <x:f>SUMIFS('Expenses'!$F$6:$F$505,'Expenses'!$H$6:$H$505,"&gt;="&amp;B20,'Expenses'!$H$6:$H$505,"&lt;"&amp;EDATE(B20,1),'Expenses'!$G$6:$G$505,"Paid")</x:f>
        <x:v>0</x:v>
      </x:c>
      <x:c r="E20" s="120" t="n">
        <x:f>C20-D20</x:f>
        <x:v>0</x:v>
      </x:c>
      <x:c r="F20" s="120" t="n">
        <x:f>SUMIFS('Incoming Checks'!$G$6:$G$505,'Incoming Checks'!$F$6:$F$505,"&gt;="&amp;B20,'Incoming Checks'!$F$6:$F$505,"&lt;"&amp;EDATE(B20,1),'Incoming Checks'!$H$6:$H$505,"Pending")</x:f>
        <x:v>0</x:v>
      </x:c>
      <x:c r="G20" s="120" t="n">
        <x:f>SUMIFS('Expenses'!$F$6:$F$505,'Expenses'!$E$6:$E$505,"&gt;="&amp;B20,'Expenses'!$E$6:$E$505,"&lt;"&amp;EDATE(B20,1),'Expenses'!$G$6:$G$505,"Unpaid")</x:f>
        <x:v>0</x:v>
      </x:c>
      <x:c r="H20" s="120" t="n">
        <x:f>E20+F20-G20</x:f>
        <x:v>0</x:v>
      </x:c>
      <x:c r="I20" s="121" t="n">
        <x:f>COUNTIFS('Incoming Checks'!$D$6:$D$505,"Check",'Incoming Checks'!$H$6:$H$505,"Cleared",'Incoming Checks'!$I$6:$I$505,"&gt;="&amp;B20,'Incoming Checks'!$I$6:$I$505,"&lt;"&amp;EDATE(B20,1))</x:f>
        <x:v>0</x:v>
      </x:c>
      <x:c r="J20" s="121" t="n">
        <x:f>COUNTIFS('Incoming Checks'!$D$6:$D$505,"Check",'Incoming Checks'!$H$6:$H$505,"Pending")</x:f>
        <x:v>0</x:v>
      </x:c>
      <x:c r="K20" s="121" t="n">
        <x:f>COUNTIFS('Incoming Checks'!$D$6:$D$505,"Check",'Incoming Checks'!$K$6:$K$505,"Overdue")</x:f>
        <x:v>0</x:v>
      </x:c>
      <x:c r="L20" s="121" t="n">
        <x:f>COUNTIFS('Expenses'!$J$6:$J$505,"Overdue")</x:f>
        <x:v>0</x:v>
      </x:c>
      <x:c r="M20" s="120" t="n">
        <x:f>SUMIFS('Incoming Checks'!$G$6:$G$505,'Incoming Checks'!$H$6:$H$505,"Pending")</x:f>
        <x:v>0</x:v>
      </x:c>
      <x:c r="N20" s="120" t="n">
        <x:f>SUMIFS('Expenses'!$F$6:$F$505,'Expenses'!$G$6:$G$505,"Unpaid")</x:f>
        <x:v>0</x:v>
      </x:c>
      <x:c r="O20" s="120" t="n">
        <x:f>SUMIFS('Incoming Checks'!$G$6:$G$505,'Incoming Checks'!$F$6:$F$505,"&gt;="&amp;$C$10,'Incoming Checks'!$F$6:$F$505,"&lt;"&amp;$C$10+30,'Incoming Checks'!$H$6:$H$505,"Pending")</x:f>
        <x:v>0</x:v>
      </x:c>
      <x:c r="P20" s="120" t="n">
        <x:f>SUMIFS('Expenses'!$F$6:$F$505,'Expenses'!$E$6:$E$505,"&gt;="&amp;$C$10,'Expenses'!$E$6:$E$505,"&lt;"&amp;$C$10+30,'Expenses'!$G$6:$G$505,"Unpaid")</x:f>
        <x:v>0</x:v>
      </x:c>
    </x:row>
    <x:row r="21">
      <x:c r="B21" s="122" t="n">
        <x:f>DATE(YEAR($C$9),6,1)</x:f>
        <x:v>46174</x:v>
      </x:c>
      <x:c r="C21" s="120" t="n">
        <x:f>SUMIFS('Incoming Checks'!$G$6:$G$505,'Incoming Checks'!$I$6:$I$505,"&gt;="&amp;B21,'Incoming Checks'!$I$6:$I$505,"&lt;"&amp;EDATE(B21,1),'Incoming Checks'!$H$6:$H$505,"Cleared")</x:f>
        <x:v>0</x:v>
      </x:c>
      <x:c r="D21" s="120" t="n">
        <x:f>SUMIFS('Expenses'!$F$6:$F$505,'Expenses'!$H$6:$H$505,"&gt;="&amp;B21,'Expenses'!$H$6:$H$505,"&lt;"&amp;EDATE(B21,1),'Expenses'!$G$6:$G$505,"Paid")</x:f>
        <x:v>0</x:v>
      </x:c>
      <x:c r="E21" s="120" t="n">
        <x:f>C21-D21</x:f>
        <x:v>0</x:v>
      </x:c>
      <x:c r="F21" s="120" t="n">
        <x:f>SUMIFS('Incoming Checks'!$G$6:$G$505,'Incoming Checks'!$F$6:$F$505,"&gt;="&amp;B21,'Incoming Checks'!$F$6:$F$505,"&lt;"&amp;EDATE(B21,1),'Incoming Checks'!$H$6:$H$505,"Pending")</x:f>
        <x:v>0</x:v>
      </x:c>
      <x:c r="G21" s="120" t="n">
        <x:f>SUMIFS('Expenses'!$F$6:$F$505,'Expenses'!$E$6:$E$505,"&gt;="&amp;B21,'Expenses'!$E$6:$E$505,"&lt;"&amp;EDATE(B21,1),'Expenses'!$G$6:$G$505,"Unpaid")</x:f>
        <x:v>0</x:v>
      </x:c>
      <x:c r="H21" s="120" t="n">
        <x:f>E21+F21-G21</x:f>
        <x:v>0</x:v>
      </x:c>
      <x:c r="I21" s="121" t="n">
        <x:f>COUNTIFS('Incoming Checks'!$D$6:$D$505,"Check",'Incoming Checks'!$H$6:$H$505,"Cleared",'Incoming Checks'!$I$6:$I$505,"&gt;="&amp;B21,'Incoming Checks'!$I$6:$I$505,"&lt;"&amp;EDATE(B21,1))</x:f>
        <x:v>0</x:v>
      </x:c>
      <x:c r="J21" s="121" t="n">
        <x:f>COUNTIFS('Incoming Checks'!$D$6:$D$505,"Check",'Incoming Checks'!$H$6:$H$505,"Pending")</x:f>
        <x:v>0</x:v>
      </x:c>
      <x:c r="K21" s="121" t="n">
        <x:f>COUNTIFS('Incoming Checks'!$D$6:$D$505,"Check",'Incoming Checks'!$K$6:$K$505,"Overdue")</x:f>
        <x:v>0</x:v>
      </x:c>
      <x:c r="L21" s="121" t="n">
        <x:f>COUNTIFS('Expenses'!$J$6:$J$505,"Overdue")</x:f>
        <x:v>0</x:v>
      </x:c>
      <x:c r="M21" s="120" t="n">
        <x:f>SUMIFS('Incoming Checks'!$G$6:$G$505,'Incoming Checks'!$H$6:$H$505,"Pending")</x:f>
        <x:v>0</x:v>
      </x:c>
      <x:c r="N21" s="120" t="n">
        <x:f>SUMIFS('Expenses'!$F$6:$F$505,'Expenses'!$G$6:$G$505,"Unpaid")</x:f>
        <x:v>0</x:v>
      </x:c>
      <x:c r="O21" s="120" t="n">
        <x:f>SUMIFS('Incoming Checks'!$G$6:$G$505,'Incoming Checks'!$F$6:$F$505,"&gt;="&amp;$C$10,'Incoming Checks'!$F$6:$F$505,"&lt;"&amp;$C$10+30,'Incoming Checks'!$H$6:$H$505,"Pending")</x:f>
        <x:v>0</x:v>
      </x:c>
      <x:c r="P21" s="120" t="n">
        <x:f>SUMIFS('Expenses'!$F$6:$F$505,'Expenses'!$E$6:$E$505,"&gt;="&amp;$C$10,'Expenses'!$E$6:$E$505,"&lt;"&amp;$C$10+30,'Expenses'!$G$6:$G$505,"Unpaid")</x:f>
        <x:v>0</x:v>
      </x:c>
    </x:row>
    <x:row r="22">
      <x:c r="B22" s="122" t="n">
        <x:f>DATE(YEAR($C$9),7,1)</x:f>
        <x:v>46204</x:v>
      </x:c>
      <x:c r="C22" s="120" t="n">
        <x:f>SUMIFS('Incoming Checks'!$G$6:$G$505,'Incoming Checks'!$I$6:$I$505,"&gt;="&amp;B22,'Incoming Checks'!$I$6:$I$505,"&lt;"&amp;EDATE(B22,1),'Incoming Checks'!$H$6:$H$505,"Cleared")</x:f>
        <x:v>0</x:v>
      </x:c>
      <x:c r="D22" s="120" t="n">
        <x:f>SUMIFS('Expenses'!$F$6:$F$505,'Expenses'!$H$6:$H$505,"&gt;="&amp;B22,'Expenses'!$H$6:$H$505,"&lt;"&amp;EDATE(B22,1),'Expenses'!$G$6:$G$505,"Paid")</x:f>
        <x:v>0</x:v>
      </x:c>
      <x:c r="E22" s="120" t="n">
        <x:f>C22-D22</x:f>
        <x:v>0</x:v>
      </x:c>
      <x:c r="F22" s="120" t="n">
        <x:f>SUMIFS('Incoming Checks'!$G$6:$G$505,'Incoming Checks'!$F$6:$F$505,"&gt;="&amp;B22,'Incoming Checks'!$F$6:$F$505,"&lt;"&amp;EDATE(B22,1),'Incoming Checks'!$H$6:$H$505,"Pending")</x:f>
        <x:v>0</x:v>
      </x:c>
      <x:c r="G22" s="120" t="n">
        <x:f>SUMIFS('Expenses'!$F$6:$F$505,'Expenses'!$E$6:$E$505,"&gt;="&amp;B22,'Expenses'!$E$6:$E$505,"&lt;"&amp;EDATE(B22,1),'Expenses'!$G$6:$G$505,"Unpaid")</x:f>
        <x:v>0</x:v>
      </x:c>
      <x:c r="H22" s="120" t="n">
        <x:f>E22+F22-G22</x:f>
        <x:v>0</x:v>
      </x:c>
      <x:c r="I22" s="121" t="n">
        <x:f>COUNTIFS('Incoming Checks'!$D$6:$D$505,"Check",'Incoming Checks'!$H$6:$H$505,"Cleared",'Incoming Checks'!$I$6:$I$505,"&gt;="&amp;B22,'Incoming Checks'!$I$6:$I$505,"&lt;"&amp;EDATE(B22,1))</x:f>
        <x:v>0</x:v>
      </x:c>
      <x:c r="J22" s="121" t="n">
        <x:f>COUNTIFS('Incoming Checks'!$D$6:$D$505,"Check",'Incoming Checks'!$H$6:$H$505,"Pending")</x:f>
        <x:v>0</x:v>
      </x:c>
      <x:c r="K22" s="121" t="n">
        <x:f>COUNTIFS('Incoming Checks'!$D$6:$D$505,"Check",'Incoming Checks'!$K$6:$K$505,"Overdue")</x:f>
        <x:v>0</x:v>
      </x:c>
      <x:c r="L22" s="121" t="n">
        <x:f>COUNTIFS('Expenses'!$J$6:$J$505,"Overdue")</x:f>
        <x:v>0</x:v>
      </x:c>
      <x:c r="M22" s="120" t="n">
        <x:f>SUMIFS('Incoming Checks'!$G$6:$G$505,'Incoming Checks'!$H$6:$H$505,"Pending")</x:f>
        <x:v>0</x:v>
      </x:c>
      <x:c r="N22" s="120" t="n">
        <x:f>SUMIFS('Expenses'!$F$6:$F$505,'Expenses'!$G$6:$G$505,"Unpaid")</x:f>
        <x:v>0</x:v>
      </x:c>
      <x:c r="O22" s="120" t="n">
        <x:f>SUMIFS('Incoming Checks'!$G$6:$G$505,'Incoming Checks'!$F$6:$F$505,"&gt;="&amp;$C$10,'Incoming Checks'!$F$6:$F$505,"&lt;"&amp;$C$10+30,'Incoming Checks'!$H$6:$H$505,"Pending")</x:f>
        <x:v>0</x:v>
      </x:c>
      <x:c r="P22" s="120" t="n">
        <x:f>SUMIFS('Expenses'!$F$6:$F$505,'Expenses'!$E$6:$E$505,"&gt;="&amp;$C$10,'Expenses'!$E$6:$E$505,"&lt;"&amp;$C$10+30,'Expenses'!$G$6:$G$505,"Unpaid")</x:f>
        <x:v>0</x:v>
      </x:c>
    </x:row>
    <x:row r="23">
      <x:c r="B23" s="122" t="n">
        <x:f>DATE(YEAR($C$9),8,1)</x:f>
        <x:v>46235</x:v>
      </x:c>
      <x:c r="C23" s="120" t="n">
        <x:f>SUMIFS('Incoming Checks'!$G$6:$G$505,'Incoming Checks'!$I$6:$I$505,"&gt;="&amp;B23,'Incoming Checks'!$I$6:$I$505,"&lt;"&amp;EDATE(B23,1),'Incoming Checks'!$H$6:$H$505,"Cleared")</x:f>
        <x:v>0</x:v>
      </x:c>
      <x:c r="D23" s="120" t="n">
        <x:f>SUMIFS('Expenses'!$F$6:$F$505,'Expenses'!$H$6:$H$505,"&gt;="&amp;B23,'Expenses'!$H$6:$H$505,"&lt;"&amp;EDATE(B23,1),'Expenses'!$G$6:$G$505,"Paid")</x:f>
        <x:v>0</x:v>
      </x:c>
      <x:c r="E23" s="120" t="n">
        <x:f>C23-D23</x:f>
        <x:v>0</x:v>
      </x:c>
      <x:c r="F23" s="120" t="n">
        <x:f>SUMIFS('Incoming Checks'!$G$6:$G$505,'Incoming Checks'!$F$6:$F$505,"&gt;="&amp;B23,'Incoming Checks'!$F$6:$F$505,"&lt;"&amp;EDATE(B23,1),'Incoming Checks'!$H$6:$H$505,"Pending")</x:f>
        <x:v>0</x:v>
      </x:c>
      <x:c r="G23" s="120" t="n">
        <x:f>SUMIFS('Expenses'!$F$6:$F$505,'Expenses'!$E$6:$E$505,"&gt;="&amp;B23,'Expenses'!$E$6:$E$505,"&lt;"&amp;EDATE(B23,1),'Expenses'!$G$6:$G$505,"Unpaid")</x:f>
        <x:v>0</x:v>
      </x:c>
      <x:c r="H23" s="120" t="n">
        <x:f>E23+F23-G23</x:f>
        <x:v>0</x:v>
      </x:c>
      <x:c r="I23" s="121" t="n">
        <x:f>COUNTIFS('Incoming Checks'!$D$6:$D$505,"Check",'Incoming Checks'!$H$6:$H$505,"Cleared",'Incoming Checks'!$I$6:$I$505,"&gt;="&amp;B23,'Incoming Checks'!$I$6:$I$505,"&lt;"&amp;EDATE(B23,1))</x:f>
        <x:v>0</x:v>
      </x:c>
      <x:c r="J23" s="121" t="n">
        <x:f>COUNTIFS('Incoming Checks'!$D$6:$D$505,"Check",'Incoming Checks'!$H$6:$H$505,"Pending")</x:f>
        <x:v>0</x:v>
      </x:c>
      <x:c r="K23" s="121" t="n">
        <x:f>COUNTIFS('Incoming Checks'!$D$6:$D$505,"Check",'Incoming Checks'!$K$6:$K$505,"Overdue")</x:f>
        <x:v>0</x:v>
      </x:c>
      <x:c r="L23" s="121" t="n">
        <x:f>COUNTIFS('Expenses'!$J$6:$J$505,"Overdue")</x:f>
        <x:v>0</x:v>
      </x:c>
      <x:c r="M23" s="120" t="n">
        <x:f>SUMIFS('Incoming Checks'!$G$6:$G$505,'Incoming Checks'!$H$6:$H$505,"Pending")</x:f>
        <x:v>0</x:v>
      </x:c>
      <x:c r="N23" s="120" t="n">
        <x:f>SUMIFS('Expenses'!$F$6:$F$505,'Expenses'!$G$6:$G$505,"Unpaid")</x:f>
        <x:v>0</x:v>
      </x:c>
      <x:c r="O23" s="120" t="n">
        <x:f>SUMIFS('Incoming Checks'!$G$6:$G$505,'Incoming Checks'!$F$6:$F$505,"&gt;="&amp;$C$10,'Incoming Checks'!$F$6:$F$505,"&lt;"&amp;$C$10+30,'Incoming Checks'!$H$6:$H$505,"Pending")</x:f>
        <x:v>0</x:v>
      </x:c>
      <x:c r="P23" s="120" t="n">
        <x:f>SUMIFS('Expenses'!$F$6:$F$505,'Expenses'!$E$6:$E$505,"&gt;="&amp;$C$10,'Expenses'!$E$6:$E$505,"&lt;"&amp;$C$10+30,'Expenses'!$G$6:$G$505,"Unpaid")</x:f>
        <x:v>0</x:v>
      </x:c>
    </x:row>
    <x:row r="24">
      <x:c r="B24" s="122" t="n">
        <x:f>DATE(YEAR($C$9),9,1)</x:f>
        <x:v>46266</x:v>
      </x:c>
      <x:c r="C24" s="120" t="n">
        <x:f>SUMIFS('Incoming Checks'!$G$6:$G$505,'Incoming Checks'!$I$6:$I$505,"&gt;="&amp;B24,'Incoming Checks'!$I$6:$I$505,"&lt;"&amp;EDATE(B24,1),'Incoming Checks'!$H$6:$H$505,"Cleared")</x:f>
        <x:v>0</x:v>
      </x:c>
      <x:c r="D24" s="120" t="n">
        <x:f>SUMIFS('Expenses'!$F$6:$F$505,'Expenses'!$H$6:$H$505,"&gt;="&amp;B24,'Expenses'!$H$6:$H$505,"&lt;"&amp;EDATE(B24,1),'Expenses'!$G$6:$G$505,"Paid")</x:f>
        <x:v>0</x:v>
      </x:c>
      <x:c r="E24" s="120" t="n">
        <x:f>C24-D24</x:f>
        <x:v>0</x:v>
      </x:c>
      <x:c r="F24" s="120" t="n">
        <x:f>SUMIFS('Incoming Checks'!$G$6:$G$505,'Incoming Checks'!$F$6:$F$505,"&gt;="&amp;B24,'Incoming Checks'!$F$6:$F$505,"&lt;"&amp;EDATE(B24,1),'Incoming Checks'!$H$6:$H$505,"Pending")</x:f>
        <x:v>0</x:v>
      </x:c>
      <x:c r="G24" s="120" t="n">
        <x:f>SUMIFS('Expenses'!$F$6:$F$505,'Expenses'!$E$6:$E$505,"&gt;="&amp;B24,'Expenses'!$E$6:$E$505,"&lt;"&amp;EDATE(B24,1),'Expenses'!$G$6:$G$505,"Unpaid")</x:f>
        <x:v>0</x:v>
      </x:c>
      <x:c r="H24" s="120" t="n">
        <x:f>E24+F24-G24</x:f>
        <x:v>0</x:v>
      </x:c>
      <x:c r="I24" s="121" t="n">
        <x:f>COUNTIFS('Incoming Checks'!$D$6:$D$505,"Check",'Incoming Checks'!$H$6:$H$505,"Cleared",'Incoming Checks'!$I$6:$I$505,"&gt;="&amp;B24,'Incoming Checks'!$I$6:$I$505,"&lt;"&amp;EDATE(B24,1))</x:f>
        <x:v>0</x:v>
      </x:c>
      <x:c r="J24" s="121" t="n">
        <x:f>COUNTIFS('Incoming Checks'!$D$6:$D$505,"Check",'Incoming Checks'!$H$6:$H$505,"Pending")</x:f>
        <x:v>0</x:v>
      </x:c>
      <x:c r="K24" s="121" t="n">
        <x:f>COUNTIFS('Incoming Checks'!$D$6:$D$505,"Check",'Incoming Checks'!$K$6:$K$505,"Overdue")</x:f>
        <x:v>0</x:v>
      </x:c>
      <x:c r="L24" s="121" t="n">
        <x:f>COUNTIFS('Expenses'!$J$6:$J$505,"Overdue")</x:f>
        <x:v>0</x:v>
      </x:c>
      <x:c r="M24" s="120" t="n">
        <x:f>SUMIFS('Incoming Checks'!$G$6:$G$505,'Incoming Checks'!$H$6:$H$505,"Pending")</x:f>
        <x:v>0</x:v>
      </x:c>
      <x:c r="N24" s="120" t="n">
        <x:f>SUMIFS('Expenses'!$F$6:$F$505,'Expenses'!$G$6:$G$505,"Unpaid")</x:f>
        <x:v>0</x:v>
      </x:c>
      <x:c r="O24" s="120" t="n">
        <x:f>SUMIFS('Incoming Checks'!$G$6:$G$505,'Incoming Checks'!$F$6:$F$505,"&gt;="&amp;$C$10,'Incoming Checks'!$F$6:$F$505,"&lt;"&amp;$C$10+30,'Incoming Checks'!$H$6:$H$505,"Pending")</x:f>
        <x:v>0</x:v>
      </x:c>
      <x:c r="P24" s="120" t="n">
        <x:f>SUMIFS('Expenses'!$F$6:$F$505,'Expenses'!$E$6:$E$505,"&gt;="&amp;$C$10,'Expenses'!$E$6:$E$505,"&lt;"&amp;$C$10+30,'Expenses'!$G$6:$G$505,"Unpaid")</x:f>
        <x:v>0</x:v>
      </x:c>
    </x:row>
    <x:row r="25">
      <x:c r="B25" s="122" t="n">
        <x:f>DATE(YEAR($C$9),10,1)</x:f>
        <x:v>46296</x:v>
      </x:c>
      <x:c r="C25" s="120" t="n">
        <x:f>SUMIFS('Incoming Checks'!$G$6:$G$505,'Incoming Checks'!$I$6:$I$505,"&gt;="&amp;B25,'Incoming Checks'!$I$6:$I$505,"&lt;"&amp;EDATE(B25,1),'Incoming Checks'!$H$6:$H$505,"Cleared")</x:f>
        <x:v>0</x:v>
      </x:c>
      <x:c r="D25" s="120" t="n">
        <x:f>SUMIFS('Expenses'!$F$6:$F$505,'Expenses'!$H$6:$H$505,"&gt;="&amp;B25,'Expenses'!$H$6:$H$505,"&lt;"&amp;EDATE(B25,1),'Expenses'!$G$6:$G$505,"Paid")</x:f>
        <x:v>0</x:v>
      </x:c>
      <x:c r="E25" s="120" t="n">
        <x:f>C25-D25</x:f>
        <x:v>0</x:v>
      </x:c>
      <x:c r="F25" s="120" t="n">
        <x:f>SUMIFS('Incoming Checks'!$G$6:$G$505,'Incoming Checks'!$F$6:$F$505,"&gt;="&amp;B25,'Incoming Checks'!$F$6:$F$505,"&lt;"&amp;EDATE(B25,1),'Incoming Checks'!$H$6:$H$505,"Pending")</x:f>
        <x:v>0</x:v>
      </x:c>
      <x:c r="G25" s="120" t="n">
        <x:f>SUMIFS('Expenses'!$F$6:$F$505,'Expenses'!$E$6:$E$505,"&gt;="&amp;B25,'Expenses'!$E$6:$E$505,"&lt;"&amp;EDATE(B25,1),'Expenses'!$G$6:$G$505,"Unpaid")</x:f>
        <x:v>0</x:v>
      </x:c>
      <x:c r="H25" s="120" t="n">
        <x:f>E25+F25-G25</x:f>
        <x:v>0</x:v>
      </x:c>
      <x:c r="I25" s="121" t="n">
        <x:f>COUNTIFS('Incoming Checks'!$D$6:$D$505,"Check",'Incoming Checks'!$H$6:$H$505,"Cleared",'Incoming Checks'!$I$6:$I$505,"&gt;="&amp;B25,'Incoming Checks'!$I$6:$I$505,"&lt;"&amp;EDATE(B25,1))</x:f>
        <x:v>0</x:v>
      </x:c>
      <x:c r="J25" s="121" t="n">
        <x:f>COUNTIFS('Incoming Checks'!$D$6:$D$505,"Check",'Incoming Checks'!$H$6:$H$505,"Pending")</x:f>
        <x:v>0</x:v>
      </x:c>
      <x:c r="K25" s="121" t="n">
        <x:f>COUNTIFS('Incoming Checks'!$D$6:$D$505,"Check",'Incoming Checks'!$K$6:$K$505,"Overdue")</x:f>
        <x:v>0</x:v>
      </x:c>
      <x:c r="L25" s="121" t="n">
        <x:f>COUNTIFS('Expenses'!$J$6:$J$505,"Overdue")</x:f>
        <x:v>0</x:v>
      </x:c>
      <x:c r="M25" s="120" t="n">
        <x:f>SUMIFS('Incoming Checks'!$G$6:$G$505,'Incoming Checks'!$H$6:$H$505,"Pending")</x:f>
        <x:v>0</x:v>
      </x:c>
      <x:c r="N25" s="120" t="n">
        <x:f>SUMIFS('Expenses'!$F$6:$F$505,'Expenses'!$G$6:$G$505,"Unpaid")</x:f>
        <x:v>0</x:v>
      </x:c>
      <x:c r="O25" s="120" t="n">
        <x:f>SUMIFS('Incoming Checks'!$G$6:$G$505,'Incoming Checks'!$F$6:$F$505,"&gt;="&amp;$C$10,'Incoming Checks'!$F$6:$F$505,"&lt;"&amp;$C$10+30,'Incoming Checks'!$H$6:$H$505,"Pending")</x:f>
        <x:v>0</x:v>
      </x:c>
      <x:c r="P25" s="120" t="n">
        <x:f>SUMIFS('Expenses'!$F$6:$F$505,'Expenses'!$E$6:$E$505,"&gt;="&amp;$C$10,'Expenses'!$E$6:$E$505,"&lt;"&amp;$C$10+30,'Expenses'!$G$6:$G$505,"Unpaid")</x:f>
        <x:v>0</x:v>
      </x:c>
    </x:row>
    <x:row r="26">
      <x:c r="B26" s="122" t="n">
        <x:f>DATE(YEAR($C$9),11,1)</x:f>
        <x:v>46327</x:v>
      </x:c>
      <x:c r="C26" s="120" t="n">
        <x:f>SUMIFS('Incoming Checks'!$G$6:$G$505,'Incoming Checks'!$I$6:$I$505,"&gt;="&amp;B26,'Incoming Checks'!$I$6:$I$505,"&lt;"&amp;EDATE(B26,1),'Incoming Checks'!$H$6:$H$505,"Cleared")</x:f>
        <x:v>0</x:v>
      </x:c>
      <x:c r="D26" s="120" t="n">
        <x:f>SUMIFS('Expenses'!$F$6:$F$505,'Expenses'!$H$6:$H$505,"&gt;="&amp;B26,'Expenses'!$H$6:$H$505,"&lt;"&amp;EDATE(B26,1),'Expenses'!$G$6:$G$505,"Paid")</x:f>
        <x:v>0</x:v>
      </x:c>
      <x:c r="E26" s="120" t="n">
        <x:f>C26-D26</x:f>
        <x:v>0</x:v>
      </x:c>
      <x:c r="F26" s="120" t="n">
        <x:f>SUMIFS('Incoming Checks'!$G$6:$G$505,'Incoming Checks'!$F$6:$F$505,"&gt;="&amp;B26,'Incoming Checks'!$F$6:$F$505,"&lt;"&amp;EDATE(B26,1),'Incoming Checks'!$H$6:$H$505,"Pending")</x:f>
        <x:v>0</x:v>
      </x:c>
      <x:c r="G26" s="120" t="n">
        <x:f>SUMIFS('Expenses'!$F$6:$F$505,'Expenses'!$E$6:$E$505,"&gt;="&amp;B26,'Expenses'!$E$6:$E$505,"&lt;"&amp;EDATE(B26,1),'Expenses'!$G$6:$G$505,"Unpaid")</x:f>
        <x:v>0</x:v>
      </x:c>
      <x:c r="H26" s="120" t="n">
        <x:f>E26+F26-G26</x:f>
        <x:v>0</x:v>
      </x:c>
      <x:c r="I26" s="121" t="n">
        <x:f>COUNTIFS('Incoming Checks'!$D$6:$D$505,"Check",'Incoming Checks'!$H$6:$H$505,"Cleared",'Incoming Checks'!$I$6:$I$505,"&gt;="&amp;B26,'Incoming Checks'!$I$6:$I$505,"&lt;"&amp;EDATE(B26,1))</x:f>
        <x:v>0</x:v>
      </x:c>
      <x:c r="J26" s="121" t="n">
        <x:f>COUNTIFS('Incoming Checks'!$D$6:$D$505,"Check",'Incoming Checks'!$H$6:$H$505,"Pending")</x:f>
        <x:v>0</x:v>
      </x:c>
      <x:c r="K26" s="121" t="n">
        <x:f>COUNTIFS('Incoming Checks'!$D$6:$D$505,"Check",'Incoming Checks'!$K$6:$K$505,"Overdue")</x:f>
        <x:v>0</x:v>
      </x:c>
      <x:c r="L26" s="121" t="n">
        <x:f>COUNTIFS('Expenses'!$J$6:$J$505,"Overdue")</x:f>
        <x:v>0</x:v>
      </x:c>
      <x:c r="M26" s="120" t="n">
        <x:f>SUMIFS('Incoming Checks'!$G$6:$G$505,'Incoming Checks'!$H$6:$H$505,"Pending")</x:f>
        <x:v>0</x:v>
      </x:c>
      <x:c r="N26" s="120" t="n">
        <x:f>SUMIFS('Expenses'!$F$6:$F$505,'Expenses'!$G$6:$G$505,"Unpaid")</x:f>
        <x:v>0</x:v>
      </x:c>
      <x:c r="O26" s="120" t="n">
        <x:f>SUMIFS('Incoming Checks'!$G$6:$G$505,'Incoming Checks'!$F$6:$F$505,"&gt;="&amp;$C$10,'Incoming Checks'!$F$6:$F$505,"&lt;"&amp;$C$10+30,'Incoming Checks'!$H$6:$H$505,"Pending")</x:f>
        <x:v>0</x:v>
      </x:c>
      <x:c r="P26" s="120" t="n">
        <x:f>SUMIFS('Expenses'!$F$6:$F$505,'Expenses'!$E$6:$E$505,"&gt;="&amp;$C$10,'Expenses'!$E$6:$E$505,"&lt;"&amp;$C$10+30,'Expenses'!$G$6:$G$505,"Unpaid")</x:f>
        <x:v>0</x:v>
      </x:c>
    </x:row>
    <x:row r="27">
      <x:c r="B27" s="122" t="n">
        <x:f>DATE(YEAR($C$9),12,1)</x:f>
        <x:v>46357</x:v>
      </x:c>
      <x:c r="C27" s="120" t="n">
        <x:f>SUMIFS('Incoming Checks'!$G$6:$G$505,'Incoming Checks'!$I$6:$I$505,"&gt;="&amp;B27,'Incoming Checks'!$I$6:$I$505,"&lt;"&amp;EDATE(B27,1),'Incoming Checks'!$H$6:$H$505,"Cleared")</x:f>
        <x:v>0</x:v>
      </x:c>
      <x:c r="D27" s="120" t="n">
        <x:f>SUMIFS('Expenses'!$F$6:$F$505,'Expenses'!$H$6:$H$505,"&gt;="&amp;B27,'Expenses'!$H$6:$H$505,"&lt;"&amp;EDATE(B27,1),'Expenses'!$G$6:$G$505,"Paid")</x:f>
        <x:v>0</x:v>
      </x:c>
      <x:c r="E27" s="120" t="n">
        <x:f>C27-D27</x:f>
        <x:v>0</x:v>
      </x:c>
      <x:c r="F27" s="120" t="n">
        <x:f>SUMIFS('Incoming Checks'!$G$6:$G$505,'Incoming Checks'!$F$6:$F$505,"&gt;="&amp;B27,'Incoming Checks'!$F$6:$F$505,"&lt;"&amp;EDATE(B27,1),'Incoming Checks'!$H$6:$H$505,"Pending")</x:f>
        <x:v>0</x:v>
      </x:c>
      <x:c r="G27" s="120" t="n">
        <x:f>SUMIFS('Expenses'!$F$6:$F$505,'Expenses'!$E$6:$E$505,"&gt;="&amp;B27,'Expenses'!$E$6:$E$505,"&lt;"&amp;EDATE(B27,1),'Expenses'!$G$6:$G$505,"Unpaid")</x:f>
        <x:v>0</x:v>
      </x:c>
      <x:c r="H27" s="120" t="n">
        <x:f>E27+F27-G27</x:f>
        <x:v>0</x:v>
      </x:c>
      <x:c r="I27" s="121" t="n">
        <x:f>COUNTIFS('Incoming Checks'!$D$6:$D$505,"Check",'Incoming Checks'!$H$6:$H$505,"Cleared",'Incoming Checks'!$I$6:$I$505,"&gt;="&amp;B27,'Incoming Checks'!$I$6:$I$505,"&lt;"&amp;EDATE(B27,1))</x:f>
        <x:v>0</x:v>
      </x:c>
      <x:c r="J27" s="121" t="n">
        <x:f>COUNTIFS('Incoming Checks'!$D$6:$D$505,"Check",'Incoming Checks'!$H$6:$H$505,"Pending")</x:f>
        <x:v>0</x:v>
      </x:c>
      <x:c r="K27" s="121" t="n">
        <x:f>COUNTIFS('Incoming Checks'!$D$6:$D$505,"Check",'Incoming Checks'!$K$6:$K$505,"Overdue")</x:f>
        <x:v>0</x:v>
      </x:c>
      <x:c r="L27" s="121" t="n">
        <x:f>COUNTIFS('Expenses'!$J$6:$J$505,"Overdue")</x:f>
        <x:v>0</x:v>
      </x:c>
      <x:c r="M27" s="120" t="n">
        <x:f>SUMIFS('Incoming Checks'!$G$6:$G$505,'Incoming Checks'!$H$6:$H$505,"Pending")</x:f>
        <x:v>0</x:v>
      </x:c>
      <x:c r="N27" s="120" t="n">
        <x:f>SUMIFS('Expenses'!$F$6:$F$505,'Expenses'!$G$6:$G$505,"Unpaid")</x:f>
        <x:v>0</x:v>
      </x:c>
      <x:c r="O27" s="120" t="n">
        <x:f>SUMIFS('Incoming Checks'!$G$6:$G$505,'Incoming Checks'!$F$6:$F$505,"&gt;="&amp;$C$10,'Incoming Checks'!$F$6:$F$505,"&lt;"&amp;$C$10+30,'Incoming Checks'!$H$6:$H$505,"Pending")</x:f>
        <x:v>0</x:v>
      </x:c>
      <x:c r="P27" s="120" t="n">
        <x:f>SUMIFS('Expenses'!$F$6:$F$505,'Expenses'!$E$6:$E$505,"&gt;="&amp;$C$10,'Expenses'!$E$6:$E$505,"&lt;"&amp;$C$10+30,'Expenses'!$G$6:$G$505,"Unpaid")</x:f>
        <x:v>0</x:v>
      </x:c>
    </x:row>
    <x:row r="28"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</x:row>
    <x:row r="29" ht="22" customHeight="1">
      <x:c r="B29" s="86" t="str">
        <x:v>CASH FLOW DEFINITIONS</x:v>
      </x:c>
      <x:c r="C29" s="86"/>
      <x:c r="D29" s="86"/>
      <x:c r="E29" s="86"/>
      <x:c r="F29" s="28"/>
      <x:c r="G29" s="86" t="str">
        <x:v>EXPENSE CATEGORIES</x:v>
      </x:c>
      <x:c r="H29" s="86"/>
      <x:c r="I29" s="86"/>
      <x:c r="J29" s="86"/>
      <x:c r="K29" s="28"/>
      <x:c r="L29" s="28"/>
      <x:c r="M29" s="28"/>
      <x:c r="N29" s="28"/>
      <x:c r="O29" s="28"/>
      <x:c r="P29" s="28"/>
    </x:row>
    <x:row r="30">
      <x:c r="B30" s="3" t="str">
        <x:v>Measure</x:v>
      </x:c>
      <x:c r="C30" s="3" t="str">
        <x:v>Basis</x:v>
      </x:c>
      <x:c r="D30" s="28"/>
      <x:c r="E30" s="28"/>
      <x:c r="F30" s="28"/>
      <x:c r="G30" s="3" t="str">
        <x:v>Category</x:v>
      </x:c>
      <x:c r="H30" s="3" t="str">
        <x:v>Paid this month</x:v>
      </x:c>
      <x:c r="I30" s="28"/>
      <x:c r="J30" s="28"/>
      <x:c r="K30" s="28"/>
      <x:c r="L30" s="28"/>
      <x:c r="M30" s="28"/>
      <x:c r="N30" s="28"/>
      <x:c r="O30" s="28"/>
      <x:c r="P30" s="28"/>
    </x:row>
    <x:row r="31">
      <x:c r="B31" s="4" t="str">
        <x:v>Cash in</x:v>
      </x:c>
      <x:c r="C31" s="35" t="str">
        <x:v>Cleared income by actual cash date</x:v>
      </x:c>
      <x:c r="D31" s="28"/>
      <x:c r="E31" s="28"/>
      <x:c r="F31" s="28"/>
      <x:c r="G31" s="4" t="str">
        <x:v>Payroll</x:v>
      </x:c>
      <x:c r="H31" s="99" t="n">
        <x:f>SUMIFS('Expenses'!$F$6:$F$505,'Expenses'!$C$6:$C$505,G31,'Expenses'!$G$6:$G$505,"Paid",'Expenses'!$H$6:$H$505,"&gt;="&amp;$C$9,'Expenses'!$H$6:$H$505,"&lt;"&amp;EDATE($C$9,1))</x:f>
        <x:v>0</x:v>
      </x:c>
      <x:c r="I31" s="28"/>
      <x:c r="J31" s="28"/>
      <x:c r="K31" s="28"/>
      <x:c r="L31" s="28"/>
      <x:c r="M31" s="28"/>
      <x:c r="N31" s="28"/>
      <x:c r="O31" s="28"/>
      <x:c r="P31" s="28"/>
    </x:row>
    <x:row r="32">
      <x:c r="B32" s="4" t="str">
        <x:v>Cash out</x:v>
      </x:c>
      <x:c r="C32" s="32" t="str">
        <x:v>Paid expenses by actual cash date</x:v>
      </x:c>
      <x:c r="D32" s="28"/>
      <x:c r="E32" s="28"/>
      <x:c r="F32" s="28"/>
      <x:c r="G32" s="4" t="str">
        <x:v>Rent</x:v>
      </x:c>
      <x:c r="H32" s="99" t="n">
        <x:f>SUMIFS('Expenses'!$F$6:$F$505,'Expenses'!$C$6:$C$505,G32,'Expenses'!$G$6:$G$505,"Paid",'Expenses'!$H$6:$H$505,"&gt;="&amp;$C$9,'Expenses'!$H$6:$H$505,"&lt;"&amp;EDATE($C$9,1))</x:f>
        <x:v>0</x:v>
      </x:c>
      <x:c r="I32" s="28"/>
      <x:c r="J32" s="28"/>
      <x:c r="K32" s="28"/>
      <x:c r="L32" s="28"/>
      <x:c r="M32" s="28"/>
      <x:c r="N32" s="28"/>
      <x:c r="O32" s="28"/>
      <x:c r="P32" s="28"/>
    </x:row>
    <x:row r="33">
      <x:c r="B33" s="4" t="str">
        <x:v>Planned net</x:v>
      </x:c>
      <x:c r="C33" s="32" t="str">
        <x:v>Cash net + pending due in month − unpaid due in month</x:v>
      </x:c>
      <x:c r="D33" s="28"/>
      <x:c r="E33" s="28"/>
      <x:c r="F33" s="28"/>
      <x:c r="G33" s="4" t="str">
        <x:v>Utilities</x:v>
      </x:c>
      <x:c r="H33" s="99" t="n">
        <x:f>SUMIFS('Expenses'!$F$6:$F$505,'Expenses'!$C$6:$C$505,G33,'Expenses'!$G$6:$G$505,"Paid",'Expenses'!$H$6:$H$505,"&gt;="&amp;$C$9,'Expenses'!$H$6:$H$505,"&lt;"&amp;EDATE($C$9,1))</x:f>
        <x:v>0</x:v>
      </x:c>
      <x:c r="I33" s="28"/>
      <x:c r="J33" s="28"/>
      <x:c r="K33" s="28"/>
      <x:c r="L33" s="28"/>
      <x:c r="M33" s="28"/>
      <x:c r="N33" s="28"/>
      <x:c r="O33" s="28"/>
      <x:c r="P33" s="28"/>
    </x:row>
    <x:row r="34">
      <x:c r="B34" s="4" t="str">
        <x:v>Next 30 days</x:v>
      </x:c>
      <x:c r="C34" s="32" t="str">
        <x:v>As-of date through the following 29 days</x:v>
      </x:c>
      <x:c r="D34" s="28"/>
      <x:c r="E34" s="28"/>
      <x:c r="F34" s="28"/>
      <x:c r="G34" s="4" t="str">
        <x:v>Supplies</x:v>
      </x:c>
      <x:c r="H34" s="99" t="n">
        <x:f>SUMIFS('Expenses'!$F$6:$F$505,'Expenses'!$C$6:$C$505,G34,'Expenses'!$G$6:$G$505,"Paid",'Expenses'!$H$6:$H$505,"&gt;="&amp;$C$9,'Expenses'!$H$6:$H$505,"&lt;"&amp;EDATE($C$9,1))</x:f>
        <x:v>0</x:v>
      </x:c>
      <x:c r="I34" s="28"/>
      <x:c r="J34" s="28"/>
      <x:c r="K34" s="28"/>
      <x:c r="L34" s="28"/>
      <x:c r="M34" s="28"/>
      <x:c r="N34" s="28"/>
      <x:c r="O34" s="28"/>
      <x:c r="P34" s="28"/>
    </x:row>
    <x:row r="35">
      <x:c r="B35" s="4" t="str">
        <x:v>Pending totals</x:v>
      </x:c>
      <x:c r="C35" s="32" t="str">
        <x:v>All open entries, regardless of due date</x:v>
      </x:c>
      <x:c r="D35" s="28"/>
      <x:c r="E35" s="28"/>
      <x:c r="F35" s="28"/>
      <x:c r="G35" s="5" t="str">
        <x:v>Other</x:v>
      </x:c>
      <x:c r="H35" s="100" t="n">
        <x:f>SUMIFS('Expenses'!$F$6:$F$505,'Expenses'!$C$6:$C$505,G35,'Expenses'!$G$6:$G$505,"Paid",'Expenses'!$H$6:$H$505,"&gt;="&amp;$C$9,'Expenses'!$H$6:$H$505,"&lt;"&amp;EDATE($C$9,1))</x:f>
        <x:v>0</x:v>
      </x:c>
      <x:c r="I35" s="28"/>
      <x:c r="J35" s="28"/>
      <x:c r="K35" s="28"/>
      <x:c r="L35" s="28"/>
      <x:c r="M35" s="28"/>
      <x:c r="N35" s="28"/>
      <x:c r="O35" s="28"/>
      <x:c r="P35" s="28"/>
    </x:row>
  </x:sheetData>
  <x:mergeCells>
    <x:mergeCell ref="C11:P11"/>
    <x:mergeCell ref="B13:P13"/>
    <x:mergeCell ref="B29:E29"/>
    <x:mergeCell ref="G29:J29"/>
    <x:mergeCell ref="B5:P5"/>
    <x:mergeCell ref="B6:P6"/>
    <x:mergeCell ref="B7:P7"/>
  </x:mergeCells>
  <x:dataValidations count="1">
    <x:dataValidation type="list" sqref="C9">
      <x:formula1>'Data &amp; Targets'!$B$16:$B$27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7" customWidth="1"/>
    <x:col min="2" max="4" width="14" customWidth="1"/>
    <x:col min="5" max="5" width="12" customWidth="1"/>
    <x:col min="6" max="6" width="14" customWidth="1"/>
    <x:col min="7" max="7" width="3" customWidth="1"/>
    <x:col min="8" max="8" width="14" customWidth="1"/>
    <x:col min="9" max="9" width="15" customWidth="1"/>
    <x:col min="10" max="10" width="14" customWidth="1"/>
    <x:col min="11" max="11" width="3" customWidth="1"/>
    <x:col min="12" max="12" width="14" customWidth="1"/>
    <x:col min="13" max="13" width="15" customWidth="1"/>
    <x:col min="14" max="14" width="14" customWidth="1"/>
    <x:col min="15" max="15" width="3" customWidth="1"/>
    <x:col min="16" max="16" width="24" customWidth="1"/>
    <x:col min="17" max="17" width="15" customWidth="1"/>
    <x:col min="18" max="18" width="3" customWidth="1"/>
    <x:col min="19" max="19" width="16" customWidth="1"/>
    <x:col min="20" max="20" width="15" customWidth="1"/>
  </x:cols>
  <x:sheetData>
    <x:row r="1">
      <x:c r="A1" s="3"/>
      <x:c r="B1" s="3"/>
      <x:c r="C1" s="3"/>
      <x:c r="D1" s="3"/>
      <x:c r="E1" s="3"/>
      <x:c r="F1" s="3"/>
      <x:c r="G1" s="4"/>
      <x:c r="H1" s="3" t="str">
        <x:v>Month</x:v>
      </x:c>
      <x:c r="I1" s="3" t="str">
        <x:v>Cash in</x:v>
      </x:c>
      <x:c r="J1" s="3" t="str">
        <x:v>Cash out</x:v>
      </x:c>
      <x:c r="K1" s="4"/>
      <x:c r="L1" s="3" t="str">
        <x:v>Month</x:v>
      </x:c>
      <x:c r="M1" s="3" t="str">
        <x:v>Net cash flow</x:v>
      </x:c>
      <x:c r="N1" s="3" t="str">
        <x:v>Planned net</x:v>
      </x:c>
      <x:c r="O1" s="4"/>
      <x:c r="P1" s="3" t="str">
        <x:v>Item</x:v>
      </x:c>
      <x:c r="Q1" s="3" t="str">
        <x:v>Amount (AED)</x:v>
      </x:c>
      <x:c r="R1" s="4"/>
      <x:c r="S1" s="3" t="str">
        <x:v>Category</x:v>
      </x:c>
      <x:c r="T1" s="3" t="str">
        <x:v>Paid (AED)</x:v>
      </x:c>
    </x:row>
    <x:row r="2">
      <x:c r="A2" s="4" t="str">
        <x:v>Cash in</x:v>
      </x:c>
      <x:c r="B2" s="6" t="str">
        <x:f>IF(COUNTA('Incoming Checks'!$A$6:$J$505,'Expenses'!$A$6:$I$505)=0,"",INDEX('Data &amp; Targets'!$C$16:$C$27,MONTH('Data &amp; Targets'!$C$9)))</x:f>
      </x:c>
      <x:c r="C2" s="6"/>
      <x:c r="D2" s="6"/>
      <x:c r="E2" s="4">
        <x:f t="shared" ref="E2:E7" si="0">"Higher"</x:f>
      </x:c>
      <x:c r="F2" s="4">
        <x:f t="shared" ref="F2:F9" si="1">IF(E2="Higher",IF(B2&gt;=C2,"Favorable",IF(B2&gt;=C2*0.95,"Watch","Unfavorable")),IF(B2&lt;=C2,"Favorable",IF(B2&lt;=C2*1.05,"Watch","Unfavorable")))</x:f>
      </x:c>
      <x:c r="G2" s="4"/>
      <x:c r="H2" s="11" t="str">
        <x:f>TEXT('Data &amp; Targets'!B16,"mmm yy")</x:f>
        <x:v>Jan 26</x:v>
      </x:c>
      <x:c r="I2" s="4" t="n">
        <x:f>'Data &amp; Targets'!C16</x:f>
        <x:v>0</x:v>
      </x:c>
      <x:c r="J2" s="4" t="n">
        <x:f>'Data &amp; Targets'!D16</x:f>
        <x:v>0</x:v>
      </x:c>
      <x:c r="K2" s="4"/>
      <x:c r="L2" s="11" t="str">
        <x:f>H2</x:f>
        <x:v>Jan 26</x:v>
      </x:c>
      <x:c r="M2" s="4" t="n">
        <x:f>'Data &amp; Targets'!E16</x:f>
        <x:v>0</x:v>
      </x:c>
      <x:c r="N2" s="4" t="n">
        <x:f>'Data &amp; Targets'!H16</x:f>
        <x:v>0</x:v>
      </x:c>
      <x:c r="O2" s="4"/>
      <x:c r="P2" s="4" t="str">
        <x:v>Pending income</x:v>
      </x:c>
      <x:c r="Q2" s="6" t="n">
        <x:f>INDEX('Data &amp; Targets'!$M$16:$M$27,MONTH('Data &amp; Targets'!$C$9))</x:f>
        <x:v>0</x:v>
      </x:c>
      <x:c r="R2" s="4"/>
      <x:c r="S2" s="4" t="str">
        <x:f>'Data &amp; Targets'!G31</x:f>
        <x:v>Payroll</x:v>
      </x:c>
      <x:c r="T2" s="9" t="n">
        <x:f>'Data &amp; Targets'!H31</x:f>
        <x:v>0</x:v>
      </x:c>
    </x:row>
    <x:row r="3">
      <x:c r="A3" s="4" t="str">
        <x:v>Cash out</x:v>
      </x:c>
      <x:c r="B3" s="6" t="str">
        <x:f>IF(COUNTA('Incoming Checks'!$A$6:$J$505,'Expenses'!$A$6:$I$505)=0,"",INDEX('Data &amp; Targets'!$D$16:$D$27,MONTH('Data &amp; Targets'!$C$9)))</x:f>
      </x:c>
      <x:c r="C3" s="6"/>
      <x:c r="D3" s="6"/>
      <x:c r="E3" s="4">
        <x:f t="shared" si="0"/>
      </x:c>
      <x:c r="F3" s="4">
        <x:f t="shared" si="1"/>
      </x:c>
      <x:c r="G3" s="4"/>
      <x:c r="H3" s="11" t="str">
        <x:f>TEXT('Data &amp; Targets'!B17,"mmm yy")</x:f>
        <x:v>Feb 26</x:v>
      </x:c>
      <x:c r="I3" s="4" t="n">
        <x:f>'Data &amp; Targets'!C17</x:f>
        <x:v>0</x:v>
      </x:c>
      <x:c r="J3" s="4" t="n">
        <x:f>'Data &amp; Targets'!D17</x:f>
        <x:v>0</x:v>
      </x:c>
      <x:c r="K3" s="4"/>
      <x:c r="L3" s="11" t="str">
        <x:f>H3</x:f>
        <x:v>Feb 26</x:v>
      </x:c>
      <x:c r="M3" s="4" t="n">
        <x:f>'Data &amp; Targets'!E17</x:f>
        <x:v>0</x:v>
      </x:c>
      <x:c r="N3" s="4" t="n">
        <x:f>'Data &amp; Targets'!H17</x:f>
        <x:v>0</x:v>
      </x:c>
      <x:c r="O3" s="4"/>
      <x:c r="P3" s="4" t="str">
        <x:v>Unpaid expenses</x:v>
      </x:c>
      <x:c r="Q3" s="6" t="n">
        <x:f>INDEX('Data &amp; Targets'!$N$16:$N$27,MONTH('Data &amp; Targets'!$C$9))</x:f>
        <x:v>0</x:v>
      </x:c>
      <x:c r="R3" s="4"/>
      <x:c r="S3" s="4" t="str">
        <x:f>'Data &amp; Targets'!G32</x:f>
        <x:v>Rent</x:v>
      </x:c>
      <x:c r="T3" s="9" t="n">
        <x:f>'Data &amp; Targets'!H32</x:f>
        <x:v>0</x:v>
      </x:c>
    </x:row>
    <x:row r="4">
      <x:c r="A4" s="4" t="str">
        <x:v>Net cash flow</x:v>
      </x:c>
      <x:c r="B4" s="7" t="str">
        <x:f>IF(COUNTA('Incoming Checks'!$A$6:$J$505,'Expenses'!$A$6:$I$505)=0,"",INDEX('Data &amp; Targets'!$E$16:$E$27,MONTH('Data &amp; Targets'!$C$9)))</x:f>
      </x:c>
      <x:c r="C4" s="7"/>
      <x:c r="D4" s="7"/>
      <x:c r="E4" s="4">
        <x:f t="shared" si="0"/>
      </x:c>
      <x:c r="F4" s="4">
        <x:f t="shared" si="1"/>
      </x:c>
      <x:c r="G4" s="4"/>
      <x:c r="H4" s="11" t="str">
        <x:f>TEXT('Data &amp; Targets'!B18,"mmm yy")</x:f>
        <x:v>Mar 26</x:v>
      </x:c>
      <x:c r="I4" s="4" t="n">
        <x:f>'Data &amp; Targets'!C18</x:f>
        <x:v>0</x:v>
      </x:c>
      <x:c r="J4" s="4" t="n">
        <x:f>'Data &amp; Targets'!D18</x:f>
        <x:v>0</x:v>
      </x:c>
      <x:c r="K4" s="4"/>
      <x:c r="L4" s="11" t="str">
        <x:f>H4</x:f>
        <x:v>Mar 26</x:v>
      </x:c>
      <x:c r="M4" s="4" t="n">
        <x:f>'Data &amp; Targets'!E18</x:f>
        <x:v>0</x:v>
      </x:c>
      <x:c r="N4" s="4" t="n">
        <x:f>'Data &amp; Targets'!H18</x:f>
        <x:v>0</x:v>
      </x:c>
      <x:c r="O4" s="4"/>
      <x:c r="P4" s="4" t="str">
        <x:v>In next 30 days</x:v>
      </x:c>
      <x:c r="Q4" s="6" t="n">
        <x:f>INDEX('Data &amp; Targets'!$O$16:$O$27,MONTH('Data &amp; Targets'!$C$9))</x:f>
        <x:v>0</x:v>
      </x:c>
      <x:c r="R4" s="4"/>
      <x:c r="S4" s="4" t="str">
        <x:f>'Data &amp; Targets'!G33</x:f>
        <x:v>Utilities</x:v>
      </x:c>
      <x:c r="T4" s="9" t="n">
        <x:f>'Data &amp; Targets'!H33</x:f>
        <x:v>0</x:v>
      </x:c>
    </x:row>
    <x:row r="5">
      <x:c r="A5" s="4" t="str">
        <x:v>Pending checks</x:v>
      </x:c>
      <x:c r="B5" s="7" t="str">
        <x:f>IF(COUNTA('Incoming Checks'!$A$6:$J$505,'Expenses'!$A$6:$I$505)=0,"",INDEX('Data &amp; Targets'!$J$16:$J$27,MONTH('Data &amp; Targets'!$C$9)))</x:f>
      </x:c>
      <x:c r="C5" s="7"/>
      <x:c r="D5" s="7"/>
      <x:c r="E5" s="4">
        <x:f t="shared" si="0"/>
      </x:c>
      <x:c r="F5" s="4">
        <x:f t="shared" si="1"/>
      </x:c>
      <x:c r="G5" s="4"/>
      <x:c r="H5" s="11" t="str">
        <x:f>TEXT('Data &amp; Targets'!B19,"mmm yy")</x:f>
        <x:v>Apr 26</x:v>
      </x:c>
      <x:c r="I5" s="4" t="n">
        <x:f>'Data &amp; Targets'!C19</x:f>
        <x:v>0</x:v>
      </x:c>
      <x:c r="J5" s="4" t="n">
        <x:f>'Data &amp; Targets'!D19</x:f>
        <x:v>0</x:v>
      </x:c>
      <x:c r="K5" s="4"/>
      <x:c r="L5" s="11" t="str">
        <x:f>H5</x:f>
        <x:v>Apr 26</x:v>
      </x:c>
      <x:c r="M5" s="4" t="n">
        <x:f>'Data &amp; Targets'!E19</x:f>
        <x:v>0</x:v>
      </x:c>
      <x:c r="N5" s="4" t="n">
        <x:f>'Data &amp; Targets'!H19</x:f>
        <x:v>0</x:v>
      </x:c>
      <x:c r="O5" s="4"/>
      <x:c r="P5" s="4" t="str">
        <x:v>Out next 30 days</x:v>
      </x:c>
      <x:c r="Q5" s="6" t="n">
        <x:f>INDEX('Data &amp; Targets'!$P$16:$P$27,MONTH('Data &amp; Targets'!$C$9))</x:f>
        <x:v>0</x:v>
      </x:c>
      <x:c r="R5" s="4"/>
      <x:c r="S5" s="4" t="str">
        <x:f>'Data &amp; Targets'!G34</x:f>
        <x:v>Supplies</x:v>
      </x:c>
      <x:c r="T5" s="9" t="n">
        <x:f>'Data &amp; Targets'!H34</x:f>
        <x:v>0</x:v>
      </x:c>
    </x:row>
    <x:row r="6">
      <x:c r="A6" s="4" t="str">
        <x:v>Overdue checks</x:v>
      </x:c>
      <x:c r="B6" s="8" t="str">
        <x:f>IF(COUNTA('Incoming Checks'!$A$6:$J$505,'Expenses'!$A$6:$I$505)=0,"",INDEX('Data &amp; Targets'!$K$16:$K$27,MONTH('Data &amp; Targets'!$C$9)))</x:f>
      </x:c>
      <x:c r="C6" s="8"/>
      <x:c r="D6" s="8"/>
      <x:c r="E6" s="4">
        <x:f t="shared" si="0"/>
      </x:c>
      <x:c r="F6" s="4">
        <x:f t="shared" si="1"/>
      </x:c>
      <x:c r="G6" s="4"/>
      <x:c r="H6" s="11" t="str">
        <x:f>TEXT('Data &amp; Targets'!B20,"mmm yy")</x:f>
        <x:v>May 26</x:v>
      </x:c>
      <x:c r="I6" s="4" t="n">
        <x:f>'Data &amp; Targets'!C20</x:f>
        <x:v>0</x:v>
      </x:c>
      <x:c r="J6" s="4" t="n">
        <x:f>'Data &amp; Targets'!D20</x:f>
        <x:v>0</x:v>
      </x:c>
      <x:c r="K6" s="4"/>
      <x:c r="L6" s="11" t="str">
        <x:f>H6</x:f>
        <x:v>May 26</x:v>
      </x:c>
      <x:c r="M6" s="4" t="n">
        <x:f>'Data &amp; Targets'!E20</x:f>
        <x:v>0</x:v>
      </x:c>
      <x:c r="N6" s="4" t="n">
        <x:f>'Data &amp; Targets'!H20</x:f>
        <x:v>0</x:v>
      </x:c>
      <x:c r="O6" s="4"/>
      <x:c r="P6" s="4"/>
      <x:c r="Q6" s="6"/>
      <x:c r="R6" s="4"/>
      <x:c r="S6" s="4" t="str">
        <x:f>'Data &amp; Targets'!G35</x:f>
        <x:v>Other</x:v>
      </x:c>
      <x:c r="T6" s="4" t="n">
        <x:f>'Data &amp; Targets'!H35</x:f>
        <x:v>0</x:v>
      </x:c>
    </x:row>
    <x:row r="7">
      <x:c r="A7" s="4" t="str">
        <x:v>Pending income</x:v>
      </x:c>
      <x:c r="B7" s="9" t="str">
        <x:f>IF(COUNTA('Incoming Checks'!$A$6:$J$505,'Expenses'!$A$6:$I$505)=0,"",INDEX('Data &amp; Targets'!$M$16:$M$27,MONTH('Data &amp; Targets'!$C$9)))</x:f>
      </x:c>
      <x:c r="C7" s="9"/>
      <x:c r="D7" s="9"/>
      <x:c r="E7" s="4">
        <x:f t="shared" si="0"/>
      </x:c>
      <x:c r="F7" s="4">
        <x:f t="shared" si="1"/>
      </x:c>
      <x:c r="G7" s="4"/>
      <x:c r="H7" s="11" t="str">
        <x:f>TEXT('Data &amp; Targets'!B21,"mmm yy")</x:f>
        <x:v>Jun 26</x:v>
      </x:c>
      <x:c r="I7" s="4" t="n">
        <x:f>'Data &amp; Targets'!C21</x:f>
        <x:v>0</x:v>
      </x:c>
      <x:c r="J7" s="4" t="n">
        <x:f>'Data &amp; Targets'!D21</x:f>
        <x:v>0</x:v>
      </x:c>
      <x:c r="K7" s="4"/>
      <x:c r="L7" s="11" t="str">
        <x:f>H7</x:f>
        <x:v>Jun 26</x:v>
      </x:c>
      <x:c r="M7" s="4" t="n">
        <x:f>'Data &amp; Targets'!E21</x:f>
        <x:v>0</x:v>
      </x:c>
      <x:c r="N7" s="4" t="n">
        <x:f>'Data &amp; Targets'!H21</x:f>
        <x:v>0</x:v>
      </x:c>
      <x:c r="O7" s="4"/>
      <x:c r="P7" s="4"/>
      <x:c r="Q7" s="4"/>
      <x:c r="R7" s="4"/>
      <x:c r="S7" s="4"/>
      <x:c r="T7" s="4"/>
    </x:row>
    <x:row r="8">
      <x:c r="A8" s="4" t="str">
        <x:v>Unpaid expenses</x:v>
      </x:c>
      <x:c r="B8" s="7" t="str">
        <x:f>IF(COUNTA('Incoming Checks'!$A$6:$J$505,'Expenses'!$A$6:$I$505)=0,"",INDEX('Data &amp; Targets'!$N$16:$N$27,MONTH('Data &amp; Targets'!$C$9)))</x:f>
      </x:c>
      <x:c r="C8" s="7"/>
      <x:c r="D8" s="7"/>
      <x:c r="E8" s="4"/>
      <x:c r="F8" s="4">
        <x:f t="shared" si="1"/>
      </x:c>
      <x:c r="G8" s="4"/>
      <x:c r="H8" s="11" t="str">
        <x:f>TEXT('Data &amp; Targets'!B22,"mmm yy")</x:f>
        <x:v>Jul 26</x:v>
      </x:c>
      <x:c r="I8" s="4" t="n">
        <x:f>'Data &amp; Targets'!C22</x:f>
        <x:v>0</x:v>
      </x:c>
      <x:c r="J8" s="4" t="n">
        <x:f>'Data &amp; Targets'!D22</x:f>
        <x:v>0</x:v>
      </x:c>
      <x:c r="K8" s="4"/>
      <x:c r="L8" s="11" t="str">
        <x:f>H8</x:f>
        <x:v>Jul 26</x:v>
      </x:c>
      <x:c r="M8" s="4" t="n">
        <x:f>'Data &amp; Targets'!E22</x:f>
        <x:v>0</x:v>
      </x:c>
      <x:c r="N8" s="4" t="n">
        <x:f>'Data &amp; Targets'!H22</x:f>
        <x:v>0</x:v>
      </x:c>
      <x:c r="O8" s="4"/>
      <x:c r="P8" s="4"/>
      <x:c r="Q8" s="4"/>
      <x:c r="R8" s="4"/>
      <x:c r="S8" s="4"/>
      <x:c r="T8" s="4"/>
    </x:row>
    <x:row r="9">
      <x:c r="A9" s="4" t="str">
        <x:v>Planned net</x:v>
      </x:c>
      <x:c r="B9" s="10" t="str">
        <x:f>IF(COUNTA('Incoming Checks'!$A$6:$J$505,'Expenses'!$A$6:$I$505)=0,"",INDEX('Data &amp; Targets'!$H$16:$H$27,MONTH('Data &amp; Targets'!$C$9)))</x:f>
      </x:c>
      <x:c r="C9" s="10"/>
      <x:c r="D9" s="10"/>
      <x:c r="E9" s="4"/>
      <x:c r="F9" s="4">
        <x:f t="shared" si="1"/>
      </x:c>
      <x:c r="G9" s="4"/>
      <x:c r="H9" s="11" t="str">
        <x:f>TEXT('Data &amp; Targets'!B23,"mmm yy")</x:f>
        <x:v>Aug 26</x:v>
      </x:c>
      <x:c r="I9" s="4" t="n">
        <x:f>'Data &amp; Targets'!C23</x:f>
        <x:v>0</x:v>
      </x:c>
      <x:c r="J9" s="4" t="n">
        <x:f>'Data &amp; Targets'!D23</x:f>
        <x:v>0</x:v>
      </x:c>
      <x:c r="K9" s="4"/>
      <x:c r="L9" s="11" t="str">
        <x:f>H9</x:f>
        <x:v>Aug 26</x:v>
      </x:c>
      <x:c r="M9" s="4" t="n">
        <x:f>'Data &amp; Targets'!E23</x:f>
        <x:v>0</x:v>
      </x:c>
      <x:c r="N9" s="4" t="n">
        <x:f>'Data &amp; Targets'!H23</x:f>
        <x:v>0</x:v>
      </x:c>
      <x:c r="O9" s="4"/>
      <x:c r="P9" s="4"/>
      <x:c r="Q9" s="4"/>
      <x:c r="R9" s="4"/>
      <x:c r="S9" s="4"/>
      <x:c r="T9" s="4"/>
    </x:row>
    <x:row r="10">
      <x:c r="A10" s="4"/>
      <x:c r="B10" s="4"/>
      <x:c r="C10" s="4"/>
      <x:c r="D10" s="4"/>
      <x:c r="E10" s="4"/>
      <x:c r="F10" s="4"/>
      <x:c r="G10" s="4"/>
      <x:c r="H10" s="11" t="str">
        <x:f>TEXT('Data &amp; Targets'!B24,"mmm yy")</x:f>
        <x:v>Sep 26</x:v>
      </x:c>
      <x:c r="I10" s="4" t="n">
        <x:f>'Data &amp; Targets'!C24</x:f>
        <x:v>0</x:v>
      </x:c>
      <x:c r="J10" s="4" t="n">
        <x:f>'Data &amp; Targets'!D24</x:f>
        <x:v>0</x:v>
      </x:c>
      <x:c r="K10" s="4"/>
      <x:c r="L10" s="11" t="str">
        <x:f>H10</x:f>
        <x:v>Sep 26</x:v>
      </x:c>
      <x:c r="M10" s="4" t="n">
        <x:f>'Data &amp; Targets'!E24</x:f>
        <x:v>0</x:v>
      </x:c>
      <x:c r="N10" s="4" t="n">
        <x:f>'Data &amp; Targets'!H24</x:f>
        <x:v>0</x:v>
      </x:c>
      <x:c r="O10" s="4"/>
      <x:c r="P10" s="4"/>
      <x:c r="Q10" s="4"/>
      <x:c r="R10" s="4"/>
      <x:c r="S10" s="4"/>
      <x:c r="T10" s="4"/>
    </x:row>
    <x:row r="11">
      <x:c r="A11" s="4"/>
      <x:c r="B11" s="4"/>
      <x:c r="C11" s="4"/>
      <x:c r="D11" s="4"/>
      <x:c r="E11" s="4"/>
      <x:c r="F11" s="4"/>
      <x:c r="G11" s="4"/>
      <x:c r="H11" s="11" t="str">
        <x:f>TEXT('Data &amp; Targets'!B25,"mmm yy")</x:f>
        <x:v>Oct 26</x:v>
      </x:c>
      <x:c r="I11" s="4" t="n">
        <x:f>'Data &amp; Targets'!C25</x:f>
        <x:v>0</x:v>
      </x:c>
      <x:c r="J11" s="4" t="n">
        <x:f>'Data &amp; Targets'!D25</x:f>
        <x:v>0</x:v>
      </x:c>
      <x:c r="K11" s="4"/>
      <x:c r="L11" s="11" t="str">
        <x:f>H11</x:f>
        <x:v>Oct 26</x:v>
      </x:c>
      <x:c r="M11" s="4" t="n">
        <x:f>'Data &amp; Targets'!E25</x:f>
        <x:v>0</x:v>
      </x:c>
      <x:c r="N11" s="4" t="n">
        <x:f>'Data &amp; Targets'!H25</x:f>
        <x:v>0</x:v>
      </x:c>
      <x:c r="O11" s="4"/>
      <x:c r="P11" s="4"/>
      <x:c r="Q11" s="4"/>
      <x:c r="R11" s="4"/>
      <x:c r="S11" s="4"/>
      <x:c r="T11" s="4"/>
    </x:row>
    <x:row r="12">
      <x:c r="A12" s="4"/>
      <x:c r="B12" s="4"/>
      <x:c r="C12" s="4"/>
      <x:c r="D12" s="4"/>
      <x:c r="E12" s="4"/>
      <x:c r="F12" s="4"/>
      <x:c r="G12" s="4"/>
      <x:c r="H12" s="11" t="str">
        <x:f>TEXT('Data &amp; Targets'!B26,"mmm yy")</x:f>
        <x:v>Nov 26</x:v>
      </x:c>
      <x:c r="I12" s="4" t="n">
        <x:f>'Data &amp; Targets'!C26</x:f>
        <x:v>0</x:v>
      </x:c>
      <x:c r="J12" s="4" t="n">
        <x:f>'Data &amp; Targets'!D26</x:f>
        <x:v>0</x:v>
      </x:c>
      <x:c r="K12" s="4"/>
      <x:c r="L12" s="11" t="str">
        <x:f>H12</x:f>
        <x:v>Nov 26</x:v>
      </x:c>
      <x:c r="M12" s="4" t="n">
        <x:f>'Data &amp; Targets'!E26</x:f>
        <x:v>0</x:v>
      </x:c>
      <x:c r="N12" s="4" t="n">
        <x:f>'Data &amp; Targets'!H26</x:f>
        <x:v>0</x:v>
      </x:c>
      <x:c r="O12" s="4"/>
      <x:c r="P12" s="4"/>
      <x:c r="Q12" s="4"/>
      <x:c r="R12" s="4"/>
      <x:c r="S12" s="4"/>
      <x:c r="T12" s="4"/>
    </x:row>
    <x:row r="13">
      <x:c r="A13" s="4"/>
      <x:c r="B13" s="4"/>
      <x:c r="C13" s="4"/>
      <x:c r="D13" s="4"/>
      <x:c r="E13" s="4"/>
      <x:c r="F13" s="4"/>
      <x:c r="G13" s="4"/>
      <x:c r="H13" s="11" t="str">
        <x:f>TEXT('Data &amp; Targets'!B27,"mmm yy")</x:f>
        <x:v>Dec 26</x:v>
      </x:c>
      <x:c r="I13" s="4" t="n">
        <x:f>'Data &amp; Targets'!C27</x:f>
        <x:v>0</x:v>
      </x:c>
      <x:c r="J13" s="4" t="n">
        <x:f>'Data &amp; Targets'!D27</x:f>
        <x:v>0</x:v>
      </x:c>
      <x:c r="K13" s="4"/>
      <x:c r="L13" s="11" t="str">
        <x:f>H13</x:f>
        <x:v>Dec 26</x:v>
      </x:c>
      <x:c r="M13" s="4" t="n">
        <x:f>'Data &amp; Targets'!E27</x:f>
        <x:v>0</x:v>
      </x:c>
      <x:c r="N13" s="4" t="n">
        <x:f>'Data &amp; Targets'!H27</x:f>
        <x:v>0</x:v>
      </x:c>
      <x:c r="O13" s="4"/>
      <x:c r="P13" s="4"/>
      <x:c r="Q13" s="4"/>
      <x:c r="R13" s="4"/>
      <x:c r="S13" s="4"/>
      <x:c r="T13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24" hidden="0" customWidth="1"/>
    <x:col min="4" max="4" width="14" hidden="0" customWidth="1"/>
    <x:col min="5" max="5" width="18" hidden="0" customWidth="1"/>
    <x:col min="6" max="6" width="22" hidden="0" customWidth="1"/>
    <x:col min="7" max="7" width="20" hidden="0" customWidth="1"/>
    <x:col min="8" max="8" width="16" hidden="0" customWidth="1"/>
    <x:col min="9" max="9" width="20" hidden="0" customWidth="1"/>
    <x:col min="10" max="10" width="28" hidden="0" customWidth="1"/>
    <x:col min="11" max="11" width="24" hidden="0" customWidth="1"/>
  </x:cols>
  <x:sheetData>
    <x:row r="1">
      <x:c r="A1" s="101"/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</x:row>
    <x:row r="2">
      <x:c r="A2" s="102" t="str">
        <x:v>Incoming checks and other income (AED)</x:v>
      </x:c>
      <x:c r="B2" s="101"/>
      <x:c r="C2" s="101"/>
      <x:c r="D2" s="101"/>
      <x:c r="E2" s="101"/>
      <x:c r="F2" s="101"/>
      <x:c r="G2" s="101"/>
      <x:c r="H2" s="101"/>
      <x:c r="I2" s="101"/>
      <x:c r="J2" s="101"/>
      <x:c r="K2" s="101"/>
    </x:row>
    <x:row r="3" ht="36" customHeight="1">
      <x:c r="A3" s="103" t="str">
        <x:v>Use Check, Transfer or Cash. Cleared means funds reached your account. Split partial receipts into separate rows. Up to 500 entries.</x:v>
      </x:c>
      <x:c r="B3" s="101"/>
      <x:c r="C3" s="101"/>
      <x:c r="D3" s="101"/>
      <x:c r="E3" s="101"/>
      <x:c r="F3" s="101"/>
      <x:c r="G3" s="101"/>
      <x:c r="H3" s="101"/>
      <x:c r="I3" s="101"/>
      <x:c r="J3" s="101"/>
      <x:c r="K3" s="101"/>
    </x:row>
    <x:row r="4">
      <x:c r="A4" s="101"/>
      <x:c r="B4" s="101"/>
      <x:c r="C4" s="101"/>
      <x:c r="D4" s="101"/>
      <x:c r="E4" s="101"/>
      <x:c r="F4" s="101"/>
      <x:c r="G4" s="101"/>
      <x:c r="H4" s="101"/>
      <x:c r="I4" s="101"/>
      <x:c r="J4" s="101"/>
      <x:c r="K4" s="101"/>
    </x:row>
    <x:row r="5" ht="30" customHeight="1">
      <x:c r="A5" s="105" t="str">
        <x:v>ID</x:v>
      </x:c>
      <x:c r="B5" s="105" t="str">
        <x:v>Customer / payer</x:v>
      </x:c>
      <x:c r="C5" s="105" t="str">
        <x:v>Check no. / reference</x:v>
      </x:c>
      <x:c r="D5" s="105" t="str">
        <x:v>Method</x:v>
      </x:c>
      <x:c r="E5" s="105" t="str">
        <x:v>Entry date</x:v>
      </x:c>
      <x:c r="F5" s="105" t="str">
        <x:v>Expected cash date</x:v>
      </x:c>
      <x:c r="G5" s="105" t="str">
        <x:v>Amount (AED)</x:v>
      </x:c>
      <x:c r="H5" s="105" t="str">
        <x:v>Status</x:v>
      </x:c>
      <x:c r="I5" s="105" t="str">
        <x:v>Actual cash date</x:v>
      </x:c>
      <x:c r="J5" s="105" t="str">
        <x:v>Notes</x:v>
      </x:c>
      <x:c r="K5" s="105" t="str">
        <x:v>Action</x:v>
      </x:c>
    </x:row>
    <x:row r="6" ht="22" customHeight="1">
      <x:c r="A6" s="106"/>
      <x:c r="B6" s="106"/>
      <x:c r="C6" s="106"/>
      <x:c r="D6" s="106"/>
      <x:c r="E6" s="110"/>
      <x:c r="F6" s="110"/>
      <x:c r="G6" s="108"/>
      <x:c r="H6" s="106"/>
      <x:c r="I6" s="110"/>
      <x:c r="J6" s="106"/>
      <x:c r="K6" s="101" t="str">
        <x:f>IF(COUNTA(A6:J6)=0,"",IF(OR(A6="",B6="",D6="",G6="",H6=""),"Complete entry",IF(G6&lt;=0,"Check amount",IF(H6="Cancelled","Cancelled",IF(H6="Cleared",IF(I6="","Enter cash date","Cleared"),IF(H6="Bounced","Follow up bounced",IF(F6="","Enter expected date",IF(F6&lt;'Data &amp; Targets'!$C$10,"Overdue",IF(F6&lt;'Data &amp; Targets'!$C$10+30,"Due next 30 days","Pending")))))))))</x:f>
      </x:c>
    </x:row>
    <x:row r="7" ht="22" customHeight="1">
      <x:c r="A7" s="106"/>
      <x:c r="B7" s="106"/>
      <x:c r="C7" s="106"/>
      <x:c r="D7" s="106"/>
      <x:c r="E7" s="110"/>
      <x:c r="F7" s="110"/>
      <x:c r="G7" s="108"/>
      <x:c r="H7" s="106"/>
      <x:c r="I7" s="110"/>
      <x:c r="J7" s="106"/>
      <x:c r="K7" s="101" t="str">
        <x:f>IF(COUNTA(A7:J7)=0,"",IF(OR(A7="",B7="",D7="",G7="",H7=""),"Complete entry",IF(G7&lt;=0,"Check amount",IF(H7="Cancelled","Cancelled",IF(H7="Cleared",IF(I7="","Enter cash date","Cleared"),IF(H7="Bounced","Follow up bounced",IF(F7="","Enter expected date",IF(F7&lt;'Data &amp; Targets'!$C$10,"Overdue",IF(F7&lt;'Data &amp; Targets'!$C$10+30,"Due next 30 days","Pending")))))))))</x:f>
      </x:c>
    </x:row>
    <x:row r="8" ht="22" customHeight="1">
      <x:c r="A8" s="106"/>
      <x:c r="B8" s="106"/>
      <x:c r="C8" s="106"/>
      <x:c r="D8" s="106"/>
      <x:c r="E8" s="110"/>
      <x:c r="F8" s="110"/>
      <x:c r="G8" s="108"/>
      <x:c r="H8" s="106"/>
      <x:c r="I8" s="110"/>
      <x:c r="J8" s="106"/>
      <x:c r="K8" s="101" t="str">
        <x:f>IF(COUNTA(A8:J8)=0,"",IF(OR(A8="",B8="",D8="",G8="",H8=""),"Complete entry",IF(G8&lt;=0,"Check amount",IF(H8="Cancelled","Cancelled",IF(H8="Cleared",IF(I8="","Enter cash date","Cleared"),IF(H8="Bounced","Follow up bounced",IF(F8="","Enter expected date",IF(F8&lt;'Data &amp; Targets'!$C$10,"Overdue",IF(F8&lt;'Data &amp; Targets'!$C$10+30,"Due next 30 days","Pending")))))))))</x:f>
      </x:c>
    </x:row>
    <x:row r="9" ht="22" customHeight="1">
      <x:c r="A9" s="106"/>
      <x:c r="B9" s="106"/>
      <x:c r="C9" s="106"/>
      <x:c r="D9" s="106"/>
      <x:c r="E9" s="110"/>
      <x:c r="F9" s="110"/>
      <x:c r="G9" s="108"/>
      <x:c r="H9" s="106"/>
      <x:c r="I9" s="110"/>
      <x:c r="J9" s="106"/>
      <x:c r="K9" s="101" t="str">
        <x:f>IF(COUNTA(A9:J9)=0,"",IF(OR(A9="",B9="",D9="",G9="",H9=""),"Complete entry",IF(G9&lt;=0,"Check amount",IF(H9="Cancelled","Cancelled",IF(H9="Cleared",IF(I9="","Enter cash date","Cleared"),IF(H9="Bounced","Follow up bounced",IF(F9="","Enter expected date",IF(F9&lt;'Data &amp; Targets'!$C$10,"Overdue",IF(F9&lt;'Data &amp; Targets'!$C$10+30,"Due next 30 days","Pending")))))))))</x:f>
      </x:c>
    </x:row>
    <x:row r="10" ht="22" customHeight="1">
      <x:c r="A10" s="106"/>
      <x:c r="B10" s="106"/>
      <x:c r="C10" s="106"/>
      <x:c r="D10" s="106"/>
      <x:c r="E10" s="110"/>
      <x:c r="F10" s="110"/>
      <x:c r="G10" s="108"/>
      <x:c r="H10" s="106"/>
      <x:c r="I10" s="110"/>
      <x:c r="J10" s="106"/>
      <x:c r="K10" s="101" t="str">
        <x:f>IF(COUNTA(A10:J10)=0,"",IF(OR(A10="",B10="",D10="",G10="",H10=""),"Complete entry",IF(G10&lt;=0,"Check amount",IF(H10="Cancelled","Cancelled",IF(H10="Cleared",IF(I10="","Enter cash date","Cleared"),IF(H10="Bounced","Follow up bounced",IF(F10="","Enter expected date",IF(F10&lt;'Data &amp; Targets'!$C$10,"Overdue",IF(F10&lt;'Data &amp; Targets'!$C$10+30,"Due next 30 days","Pending")))))))))</x:f>
      </x:c>
    </x:row>
    <x:row r="11" ht="22" customHeight="1">
      <x:c r="A11" s="106"/>
      <x:c r="B11" s="106"/>
      <x:c r="C11" s="106"/>
      <x:c r="D11" s="106"/>
      <x:c r="E11" s="110"/>
      <x:c r="F11" s="110"/>
      <x:c r="G11" s="108"/>
      <x:c r="H11" s="106"/>
      <x:c r="I11" s="110"/>
      <x:c r="J11" s="106"/>
      <x:c r="K11" s="101" t="str">
        <x:f>IF(COUNTA(A11:J11)=0,"",IF(OR(A11="",B11="",D11="",G11="",H11=""),"Complete entry",IF(G11&lt;=0,"Check amount",IF(H11="Cancelled","Cancelled",IF(H11="Cleared",IF(I11="","Enter cash date","Cleared"),IF(H11="Bounced","Follow up bounced",IF(F11="","Enter expected date",IF(F11&lt;'Data &amp; Targets'!$C$10,"Overdue",IF(F11&lt;'Data &amp; Targets'!$C$10+30,"Due next 30 days","Pending")))))))))</x:f>
      </x:c>
    </x:row>
    <x:row r="12" ht="22" customHeight="1">
      <x:c r="A12" s="106"/>
      <x:c r="B12" s="106"/>
      <x:c r="C12" s="106"/>
      <x:c r="D12" s="106"/>
      <x:c r="E12" s="110"/>
      <x:c r="F12" s="110"/>
      <x:c r="G12" s="108"/>
      <x:c r="H12" s="106"/>
      <x:c r="I12" s="110"/>
      <x:c r="J12" s="106"/>
      <x:c r="K12" s="101" t="str">
        <x:f>IF(COUNTA(A12:J12)=0,"",IF(OR(A12="",B12="",D12="",G12="",H12=""),"Complete entry",IF(G12&lt;=0,"Check amount",IF(H12="Cancelled","Cancelled",IF(H12="Cleared",IF(I12="","Enter cash date","Cleared"),IF(H12="Bounced","Follow up bounced",IF(F12="","Enter expected date",IF(F12&lt;'Data &amp; Targets'!$C$10,"Overdue",IF(F12&lt;'Data &amp; Targets'!$C$10+30,"Due next 30 days","Pending")))))))))</x:f>
      </x:c>
    </x:row>
    <x:row r="13" ht="22" customHeight="1">
      <x:c r="A13" s="106"/>
      <x:c r="B13" s="106"/>
      <x:c r="C13" s="106"/>
      <x:c r="D13" s="106"/>
      <x:c r="E13" s="110"/>
      <x:c r="F13" s="110"/>
      <x:c r="G13" s="108"/>
      <x:c r="H13" s="106"/>
      <x:c r="I13" s="110"/>
      <x:c r="J13" s="106"/>
      <x:c r="K13" s="101" t="str">
        <x:f>IF(COUNTA(A13:J13)=0,"",IF(OR(A13="",B13="",D13="",G13="",H13=""),"Complete entry",IF(G13&lt;=0,"Check amount",IF(H13="Cancelled","Cancelled",IF(H13="Cleared",IF(I13="","Enter cash date","Cleared"),IF(H13="Bounced","Follow up bounced",IF(F13="","Enter expected date",IF(F13&lt;'Data &amp; Targets'!$C$10,"Overdue",IF(F13&lt;'Data &amp; Targets'!$C$10+30,"Due next 30 days","Pending")))))))))</x:f>
      </x:c>
    </x:row>
    <x:row r="14" ht="22" customHeight="1">
      <x:c r="A14" s="106"/>
      <x:c r="B14" s="106"/>
      <x:c r="C14" s="106"/>
      <x:c r="D14" s="106"/>
      <x:c r="E14" s="110"/>
      <x:c r="F14" s="110"/>
      <x:c r="G14" s="108"/>
      <x:c r="H14" s="106"/>
      <x:c r="I14" s="110"/>
      <x:c r="J14" s="106"/>
      <x:c r="K14" s="101" t="str">
        <x:f>IF(COUNTA(A14:J14)=0,"",IF(OR(A14="",B14="",D14="",G14="",H14=""),"Complete entry",IF(G14&lt;=0,"Check amount",IF(H14="Cancelled","Cancelled",IF(H14="Cleared",IF(I14="","Enter cash date","Cleared"),IF(H14="Bounced","Follow up bounced",IF(F14="","Enter expected date",IF(F14&lt;'Data &amp; Targets'!$C$10,"Overdue",IF(F14&lt;'Data &amp; Targets'!$C$10+30,"Due next 30 days","Pending")))))))))</x:f>
      </x:c>
    </x:row>
    <x:row r="15" ht="22" customHeight="1">
      <x:c r="A15" s="106"/>
      <x:c r="B15" s="106"/>
      <x:c r="C15" s="106"/>
      <x:c r="D15" s="106"/>
      <x:c r="E15" s="110"/>
      <x:c r="F15" s="110"/>
      <x:c r="G15" s="108"/>
      <x:c r="H15" s="106"/>
      <x:c r="I15" s="110"/>
      <x:c r="J15" s="106"/>
      <x:c r="K15" s="101" t="str">
        <x:f>IF(COUNTA(A15:J15)=0,"",IF(OR(A15="",B15="",D15="",G15="",H15=""),"Complete entry",IF(G15&lt;=0,"Check amount",IF(H15="Cancelled","Cancelled",IF(H15="Cleared",IF(I15="","Enter cash date","Cleared"),IF(H15="Bounced","Follow up bounced",IF(F15="","Enter expected date",IF(F15&lt;'Data &amp; Targets'!$C$10,"Overdue",IF(F15&lt;'Data &amp; Targets'!$C$10+30,"Due next 30 days","Pending")))))))))</x:f>
      </x:c>
    </x:row>
    <x:row r="16" ht="22" customHeight="1">
      <x:c r="A16" s="106"/>
      <x:c r="B16" s="106"/>
      <x:c r="C16" s="106"/>
      <x:c r="D16" s="106"/>
      <x:c r="E16" s="110"/>
      <x:c r="F16" s="110"/>
      <x:c r="G16" s="108"/>
      <x:c r="H16" s="106"/>
      <x:c r="I16" s="110"/>
      <x:c r="J16" s="106"/>
      <x:c r="K16" s="101" t="str">
        <x:f>IF(COUNTA(A16:J16)=0,"",IF(OR(A16="",B16="",D16="",G16="",H16=""),"Complete entry",IF(G16&lt;=0,"Check amount",IF(H16="Cancelled","Cancelled",IF(H16="Cleared",IF(I16="","Enter cash date","Cleared"),IF(H16="Bounced","Follow up bounced",IF(F16="","Enter expected date",IF(F16&lt;'Data &amp; Targets'!$C$10,"Overdue",IF(F16&lt;'Data &amp; Targets'!$C$10+30,"Due next 30 days","Pending")))))))))</x:f>
      </x:c>
    </x:row>
    <x:row r="17" ht="22" customHeight="1">
      <x:c r="A17" s="106"/>
      <x:c r="B17" s="106"/>
      <x:c r="C17" s="106"/>
      <x:c r="D17" s="106"/>
      <x:c r="E17" s="110"/>
      <x:c r="F17" s="110"/>
      <x:c r="G17" s="108"/>
      <x:c r="H17" s="106"/>
      <x:c r="I17" s="110"/>
      <x:c r="J17" s="106"/>
      <x:c r="K17" s="101" t="str">
        <x:f>IF(COUNTA(A17:J17)=0,"",IF(OR(A17="",B17="",D17="",G17="",H17=""),"Complete entry",IF(G17&lt;=0,"Check amount",IF(H17="Cancelled","Cancelled",IF(H17="Cleared",IF(I17="","Enter cash date","Cleared"),IF(H17="Bounced","Follow up bounced",IF(F17="","Enter expected date",IF(F17&lt;'Data &amp; Targets'!$C$10,"Overdue",IF(F17&lt;'Data &amp; Targets'!$C$10+30,"Due next 30 days","Pending")))))))))</x:f>
      </x:c>
    </x:row>
    <x:row r="18" ht="22" customHeight="1">
      <x:c r="A18" s="106"/>
      <x:c r="B18" s="106"/>
      <x:c r="C18" s="106"/>
      <x:c r="D18" s="106"/>
      <x:c r="E18" s="110"/>
      <x:c r="F18" s="110"/>
      <x:c r="G18" s="108"/>
      <x:c r="H18" s="106"/>
      <x:c r="I18" s="110"/>
      <x:c r="J18" s="106"/>
      <x:c r="K18" s="101" t="str">
        <x:f>IF(COUNTA(A18:J18)=0,"",IF(OR(A18="",B18="",D18="",G18="",H18=""),"Complete entry",IF(G18&lt;=0,"Check amount",IF(H18="Cancelled","Cancelled",IF(H18="Cleared",IF(I18="","Enter cash date","Cleared"),IF(H18="Bounced","Follow up bounced",IF(F18="","Enter expected date",IF(F18&lt;'Data &amp; Targets'!$C$10,"Overdue",IF(F18&lt;'Data &amp; Targets'!$C$10+30,"Due next 30 days","Pending")))))))))</x:f>
      </x:c>
    </x:row>
    <x:row r="19" ht="22" customHeight="1">
      <x:c r="A19" s="106"/>
      <x:c r="B19" s="106"/>
      <x:c r="C19" s="106"/>
      <x:c r="D19" s="106"/>
      <x:c r="E19" s="110"/>
      <x:c r="F19" s="110"/>
      <x:c r="G19" s="108"/>
      <x:c r="H19" s="106"/>
      <x:c r="I19" s="110"/>
      <x:c r="J19" s="106"/>
      <x:c r="K19" s="101" t="str">
        <x:f>IF(COUNTA(A19:J19)=0,"",IF(OR(A19="",B19="",D19="",G19="",H19=""),"Complete entry",IF(G19&lt;=0,"Check amount",IF(H19="Cancelled","Cancelled",IF(H19="Cleared",IF(I19="","Enter cash date","Cleared"),IF(H19="Bounced","Follow up bounced",IF(F19="","Enter expected date",IF(F19&lt;'Data &amp; Targets'!$C$10,"Overdue",IF(F19&lt;'Data &amp; Targets'!$C$10+30,"Due next 30 days","Pending")))))))))</x:f>
      </x:c>
    </x:row>
    <x:row r="20" ht="22" customHeight="1">
      <x:c r="A20" s="106"/>
      <x:c r="B20" s="106"/>
      <x:c r="C20" s="106"/>
      <x:c r="D20" s="106"/>
      <x:c r="E20" s="110"/>
      <x:c r="F20" s="110"/>
      <x:c r="G20" s="108"/>
      <x:c r="H20" s="106"/>
      <x:c r="I20" s="110"/>
      <x:c r="J20" s="106"/>
      <x:c r="K20" s="101" t="str">
        <x:f>IF(COUNTA(A20:J20)=0,"",IF(OR(A20="",B20="",D20="",G20="",H20=""),"Complete entry",IF(G20&lt;=0,"Check amount",IF(H20="Cancelled","Cancelled",IF(H20="Cleared",IF(I20="","Enter cash date","Cleared"),IF(H20="Bounced","Follow up bounced",IF(F20="","Enter expected date",IF(F20&lt;'Data &amp; Targets'!$C$10,"Overdue",IF(F20&lt;'Data &amp; Targets'!$C$10+30,"Due next 30 days","Pending")))))))))</x:f>
      </x:c>
    </x:row>
    <x:row r="21" ht="22" customHeight="1">
      <x:c r="A21" s="107"/>
      <x:c r="B21" s="107"/>
      <x:c r="C21" s="107"/>
      <x:c r="D21" s="107"/>
      <x:c r="E21" s="111"/>
      <x:c r="F21" s="111"/>
      <x:c r="G21" s="109"/>
      <x:c r="H21" s="107"/>
      <x:c r="I21" s="111"/>
      <x:c r="J21" s="107"/>
      <x:c r="K21" t="str">
        <x:f>IF(COUNTA(A21:J21)=0,"",IF(OR(A21="",B21="",D21="",G21="",H21=""),"Complete entry",IF(G21&lt;=0,"Check amount",IF(H21="Cancelled","Cancelled",IF(H21="Cleared",IF(I21="","Enter cash date","Cleared"),IF(H21="Bounced","Follow up bounced",IF(F21="","Enter expected date",IF(F21&lt;'Data &amp; Targets'!$C$10,"Overdue",IF(F21&lt;'Data &amp; Targets'!$C$10+30,"Due next 30 days","Pending")))))))))</x:f>
      </x:c>
    </x:row>
    <x:row r="22" ht="22" customHeight="1">
      <x:c r="A22" s="107"/>
      <x:c r="B22" s="107"/>
      <x:c r="C22" s="107"/>
      <x:c r="D22" s="107"/>
      <x:c r="E22" s="111"/>
      <x:c r="F22" s="111"/>
      <x:c r="G22" s="109"/>
      <x:c r="H22" s="107"/>
      <x:c r="I22" s="111"/>
      <x:c r="J22" s="107"/>
      <x:c r="K22" t="str">
        <x:f>IF(COUNTA(A22:J22)=0,"",IF(OR(A22="",B22="",D22="",G22="",H22=""),"Complete entry",IF(G22&lt;=0,"Check amount",IF(H22="Cancelled","Cancelled",IF(H22="Cleared",IF(I22="","Enter cash date","Cleared"),IF(H22="Bounced","Follow up bounced",IF(F22="","Enter expected date",IF(F22&lt;'Data &amp; Targets'!$C$10,"Overdue",IF(F22&lt;'Data &amp; Targets'!$C$10+30,"Due next 30 days","Pending")))))))))</x:f>
      </x:c>
    </x:row>
    <x:row r="23" ht="22" customHeight="1">
      <x:c r="A23" s="107"/>
      <x:c r="B23" s="107"/>
      <x:c r="C23" s="107"/>
      <x:c r="D23" s="107"/>
      <x:c r="E23" s="111"/>
      <x:c r="F23" s="111"/>
      <x:c r="G23" s="109"/>
      <x:c r="H23" s="107"/>
      <x:c r="I23" s="111"/>
      <x:c r="J23" s="107"/>
      <x:c r="K23" t="str">
        <x:f>IF(COUNTA(A23:J23)=0,"",IF(OR(A23="",B23="",D23="",G23="",H23=""),"Complete entry",IF(G23&lt;=0,"Check amount",IF(H23="Cancelled","Cancelled",IF(H23="Cleared",IF(I23="","Enter cash date","Cleared"),IF(H23="Bounced","Follow up bounced",IF(F23="","Enter expected date",IF(F23&lt;'Data &amp; Targets'!$C$10,"Overdue",IF(F23&lt;'Data &amp; Targets'!$C$10+30,"Due next 30 days","Pending")))))))))</x:f>
      </x:c>
    </x:row>
    <x:row r="24" ht="22" customHeight="1">
      <x:c r="A24" s="107"/>
      <x:c r="B24" s="107"/>
      <x:c r="C24" s="107"/>
      <x:c r="D24" s="107"/>
      <x:c r="E24" s="111"/>
      <x:c r="F24" s="111"/>
      <x:c r="G24" s="109"/>
      <x:c r="H24" s="107"/>
      <x:c r="I24" s="111"/>
      <x:c r="J24" s="107"/>
      <x:c r="K24" t="str">
        <x:f>IF(COUNTA(A24:J24)=0,"",IF(OR(A24="",B24="",D24="",G24="",H24=""),"Complete entry",IF(G24&lt;=0,"Check amount",IF(H24="Cancelled","Cancelled",IF(H24="Cleared",IF(I24="","Enter cash date","Cleared"),IF(H24="Bounced","Follow up bounced",IF(F24="","Enter expected date",IF(F24&lt;'Data &amp; Targets'!$C$10,"Overdue",IF(F24&lt;'Data &amp; Targets'!$C$10+30,"Due next 30 days","Pending")))))))))</x:f>
      </x:c>
    </x:row>
    <x:row r="25" ht="22" customHeight="1">
      <x:c r="A25" s="107"/>
      <x:c r="B25" s="107"/>
      <x:c r="C25" s="107"/>
      <x:c r="D25" s="107"/>
      <x:c r="E25" s="111"/>
      <x:c r="F25" s="111"/>
      <x:c r="G25" s="109"/>
      <x:c r="H25" s="107"/>
      <x:c r="I25" s="111"/>
      <x:c r="J25" s="107"/>
      <x:c r="K25" t="str">
        <x:f>IF(COUNTA(A25:J25)=0,"",IF(OR(A25="",B25="",D25="",G25="",H25=""),"Complete entry",IF(G25&lt;=0,"Check amount",IF(H25="Cancelled","Cancelled",IF(H25="Cleared",IF(I25="","Enter cash date","Cleared"),IF(H25="Bounced","Follow up bounced",IF(F25="","Enter expected date",IF(F25&lt;'Data &amp; Targets'!$C$10,"Overdue",IF(F25&lt;'Data &amp; Targets'!$C$10+30,"Due next 30 days","Pending")))))))))</x:f>
      </x:c>
    </x:row>
    <x:row r="26" ht="22" customHeight="1">
      <x:c r="A26" s="107"/>
      <x:c r="B26" s="107"/>
      <x:c r="C26" s="107"/>
      <x:c r="D26" s="107"/>
      <x:c r="E26" s="111"/>
      <x:c r="F26" s="111"/>
      <x:c r="G26" s="109"/>
      <x:c r="H26" s="107"/>
      <x:c r="I26" s="111"/>
      <x:c r="J26" s="107"/>
      <x:c r="K26" t="str">
        <x:f>IF(COUNTA(A26:J26)=0,"",IF(OR(A26="",B26="",D26="",G26="",H26=""),"Complete entry",IF(G26&lt;=0,"Check amount",IF(H26="Cancelled","Cancelled",IF(H26="Cleared",IF(I26="","Enter cash date","Cleared"),IF(H26="Bounced","Follow up bounced",IF(F26="","Enter expected date",IF(F26&lt;'Data &amp; Targets'!$C$10,"Overdue",IF(F26&lt;'Data &amp; Targets'!$C$10+30,"Due next 30 days","Pending")))))))))</x:f>
      </x:c>
    </x:row>
    <x:row r="27" ht="22" customHeight="1">
      <x:c r="A27" s="107"/>
      <x:c r="B27" s="107"/>
      <x:c r="C27" s="107"/>
      <x:c r="D27" s="107"/>
      <x:c r="E27" s="111"/>
      <x:c r="F27" s="111"/>
      <x:c r="G27" s="109"/>
      <x:c r="H27" s="107"/>
      <x:c r="I27" s="111"/>
      <x:c r="J27" s="107"/>
      <x:c r="K27" t="str">
        <x:f>IF(COUNTA(A27:J27)=0,"",IF(OR(A27="",B27="",D27="",G27="",H27=""),"Complete entry",IF(G27&lt;=0,"Check amount",IF(H27="Cancelled","Cancelled",IF(H27="Cleared",IF(I27="","Enter cash date","Cleared"),IF(H27="Bounced","Follow up bounced",IF(F27="","Enter expected date",IF(F27&lt;'Data &amp; Targets'!$C$10,"Overdue",IF(F27&lt;'Data &amp; Targets'!$C$10+30,"Due next 30 days","Pending")))))))))</x:f>
      </x:c>
    </x:row>
    <x:row r="28" ht="22" customHeight="1">
      <x:c r="A28" s="107"/>
      <x:c r="B28" s="107"/>
      <x:c r="C28" s="107"/>
      <x:c r="D28" s="107"/>
      <x:c r="E28" s="111"/>
      <x:c r="F28" s="111"/>
      <x:c r="G28" s="109"/>
      <x:c r="H28" s="107"/>
      <x:c r="I28" s="111"/>
      <x:c r="J28" s="107"/>
      <x:c r="K28" t="str">
        <x:f>IF(COUNTA(A28:J28)=0,"",IF(OR(A28="",B28="",D28="",G28="",H28=""),"Complete entry",IF(G28&lt;=0,"Check amount",IF(H28="Cancelled","Cancelled",IF(H28="Cleared",IF(I28="","Enter cash date","Cleared"),IF(H28="Bounced","Follow up bounced",IF(F28="","Enter expected date",IF(F28&lt;'Data &amp; Targets'!$C$10,"Overdue",IF(F28&lt;'Data &amp; Targets'!$C$10+30,"Due next 30 days","Pending")))))))))</x:f>
      </x:c>
    </x:row>
    <x:row r="29" ht="22" customHeight="1">
      <x:c r="A29" s="107"/>
      <x:c r="B29" s="107"/>
      <x:c r="C29" s="107"/>
      <x:c r="D29" s="107"/>
      <x:c r="E29" s="111"/>
      <x:c r="F29" s="111"/>
      <x:c r="G29" s="109"/>
      <x:c r="H29" s="107"/>
      <x:c r="I29" s="111"/>
      <x:c r="J29" s="107"/>
      <x:c r="K29" t="str">
        <x:f>IF(COUNTA(A29:J29)=0,"",IF(OR(A29="",B29="",D29="",G29="",H29=""),"Complete entry",IF(G29&lt;=0,"Check amount",IF(H29="Cancelled","Cancelled",IF(H29="Cleared",IF(I29="","Enter cash date","Cleared"),IF(H29="Bounced","Follow up bounced",IF(F29="","Enter expected date",IF(F29&lt;'Data &amp; Targets'!$C$10,"Overdue",IF(F29&lt;'Data &amp; Targets'!$C$10+30,"Due next 30 days","Pending")))))))))</x:f>
      </x:c>
    </x:row>
    <x:row r="30" ht="22" customHeight="1">
      <x:c r="A30" s="107"/>
      <x:c r="B30" s="107"/>
      <x:c r="C30" s="107"/>
      <x:c r="D30" s="107"/>
      <x:c r="E30" s="111"/>
      <x:c r="F30" s="111"/>
      <x:c r="G30" s="109"/>
      <x:c r="H30" s="107"/>
      <x:c r="I30" s="111"/>
      <x:c r="J30" s="107"/>
      <x:c r="K30" t="str">
        <x:f>IF(COUNTA(A30:J30)=0,"",IF(OR(A30="",B30="",D30="",G30="",H30=""),"Complete entry",IF(G30&lt;=0,"Check amount",IF(H30="Cancelled","Cancelled",IF(H30="Cleared",IF(I30="","Enter cash date","Cleared"),IF(H30="Bounced","Follow up bounced",IF(F30="","Enter expected date",IF(F30&lt;'Data &amp; Targets'!$C$10,"Overdue",IF(F30&lt;'Data &amp; Targets'!$C$10+30,"Due next 30 days","Pending")))))))))</x:f>
      </x:c>
    </x:row>
    <x:row r="31" ht="22" customHeight="1">
      <x:c r="A31" s="107"/>
      <x:c r="B31" s="107"/>
      <x:c r="C31" s="107"/>
      <x:c r="D31" s="107"/>
      <x:c r="E31" s="111"/>
      <x:c r="F31" s="111"/>
      <x:c r="G31" s="109"/>
      <x:c r="H31" s="107"/>
      <x:c r="I31" s="111"/>
      <x:c r="J31" s="107"/>
      <x:c r="K31" t="str">
        <x:f>IF(COUNTA(A31:J31)=0,"",IF(OR(A31="",B31="",D31="",G31="",H31=""),"Complete entry",IF(G31&lt;=0,"Check amount",IF(H31="Cancelled","Cancelled",IF(H31="Cleared",IF(I31="","Enter cash date","Cleared"),IF(H31="Bounced","Follow up bounced",IF(F31="","Enter expected date",IF(F31&lt;'Data &amp; Targets'!$C$10,"Overdue",IF(F31&lt;'Data &amp; Targets'!$C$10+30,"Due next 30 days","Pending")))))))))</x:f>
      </x:c>
    </x:row>
    <x:row r="32" ht="22" customHeight="1">
      <x:c r="A32" s="107"/>
      <x:c r="B32" s="107"/>
      <x:c r="C32" s="107"/>
      <x:c r="D32" s="107"/>
      <x:c r="E32" s="111"/>
      <x:c r="F32" s="111"/>
      <x:c r="G32" s="109"/>
      <x:c r="H32" s="107"/>
      <x:c r="I32" s="111"/>
      <x:c r="J32" s="107"/>
      <x:c r="K32" t="str">
        <x:f>IF(COUNTA(A32:J32)=0,"",IF(OR(A32="",B32="",D32="",G32="",H32=""),"Complete entry",IF(G32&lt;=0,"Check amount",IF(H32="Cancelled","Cancelled",IF(H32="Cleared",IF(I32="","Enter cash date","Cleared"),IF(H32="Bounced","Follow up bounced",IF(F32="","Enter expected date",IF(F32&lt;'Data &amp; Targets'!$C$10,"Overdue",IF(F32&lt;'Data &amp; Targets'!$C$10+30,"Due next 30 days","Pending")))))))))</x:f>
      </x:c>
    </x:row>
    <x:row r="33" ht="22" customHeight="1">
      <x:c r="A33" s="107"/>
      <x:c r="B33" s="107"/>
      <x:c r="C33" s="107"/>
      <x:c r="D33" s="107"/>
      <x:c r="E33" s="111"/>
      <x:c r="F33" s="111"/>
      <x:c r="G33" s="109"/>
      <x:c r="H33" s="107"/>
      <x:c r="I33" s="111"/>
      <x:c r="J33" s="107"/>
      <x:c r="K33" t="str">
        <x:f>IF(COUNTA(A33:J33)=0,"",IF(OR(A33="",B33="",D33="",G33="",H33=""),"Complete entry",IF(G33&lt;=0,"Check amount",IF(H33="Cancelled","Cancelled",IF(H33="Cleared",IF(I33="","Enter cash date","Cleared"),IF(H33="Bounced","Follow up bounced",IF(F33="","Enter expected date",IF(F33&lt;'Data &amp; Targets'!$C$10,"Overdue",IF(F33&lt;'Data &amp; Targets'!$C$10+30,"Due next 30 days","Pending")))))))))</x:f>
      </x:c>
    </x:row>
    <x:row r="34" ht="22" customHeight="1">
      <x:c r="A34" s="107"/>
      <x:c r="B34" s="107"/>
      <x:c r="C34" s="107"/>
      <x:c r="D34" s="107"/>
      <x:c r="E34" s="111"/>
      <x:c r="F34" s="111"/>
      <x:c r="G34" s="109"/>
      <x:c r="H34" s="107"/>
      <x:c r="I34" s="111"/>
      <x:c r="J34" s="107"/>
      <x:c r="K34" t="str">
        <x:f>IF(COUNTA(A34:J34)=0,"",IF(OR(A34="",B34="",D34="",G34="",H34=""),"Complete entry",IF(G34&lt;=0,"Check amount",IF(H34="Cancelled","Cancelled",IF(H34="Cleared",IF(I34="","Enter cash date","Cleared"),IF(H34="Bounced","Follow up bounced",IF(F34="","Enter expected date",IF(F34&lt;'Data &amp; Targets'!$C$10,"Overdue",IF(F34&lt;'Data &amp; Targets'!$C$10+30,"Due next 30 days","Pending")))))))))</x:f>
      </x:c>
    </x:row>
    <x:row r="35" ht="22" customHeight="1">
      <x:c r="A35" s="107"/>
      <x:c r="B35" s="107"/>
      <x:c r="C35" s="107"/>
      <x:c r="D35" s="107"/>
      <x:c r="E35" s="111"/>
      <x:c r="F35" s="111"/>
      <x:c r="G35" s="109"/>
      <x:c r="H35" s="107"/>
      <x:c r="I35" s="111"/>
      <x:c r="J35" s="107"/>
      <x:c r="K35" t="str">
        <x:f>IF(COUNTA(A35:J35)=0,"",IF(OR(A35="",B35="",D35="",G35="",H35=""),"Complete entry",IF(G35&lt;=0,"Check amount",IF(H35="Cancelled","Cancelled",IF(H35="Cleared",IF(I35="","Enter cash date","Cleared"),IF(H35="Bounced","Follow up bounced",IF(F35="","Enter expected date",IF(F35&lt;'Data &amp; Targets'!$C$10,"Overdue",IF(F35&lt;'Data &amp; Targets'!$C$10+30,"Due next 30 days","Pending")))))))))</x:f>
      </x:c>
    </x:row>
    <x:row r="36" ht="22" customHeight="1">
      <x:c r="A36" s="107"/>
      <x:c r="B36" s="107"/>
      <x:c r="C36" s="107"/>
      <x:c r="D36" s="107"/>
      <x:c r="E36" s="111"/>
      <x:c r="F36" s="111"/>
      <x:c r="G36" s="109"/>
      <x:c r="H36" s="107"/>
      <x:c r="I36" s="111"/>
      <x:c r="J36" s="107"/>
      <x:c r="K36" t="str">
        <x:f>IF(COUNTA(A36:J36)=0,"",IF(OR(A36="",B36="",D36="",G36="",H36=""),"Complete entry",IF(G36&lt;=0,"Check amount",IF(H36="Cancelled","Cancelled",IF(H36="Cleared",IF(I36="","Enter cash date","Cleared"),IF(H36="Bounced","Follow up bounced",IF(F36="","Enter expected date",IF(F36&lt;'Data &amp; Targets'!$C$10,"Overdue",IF(F36&lt;'Data &amp; Targets'!$C$10+30,"Due next 30 days","Pending")))))))))</x:f>
      </x:c>
    </x:row>
    <x:row r="37" ht="22" customHeight="1">
      <x:c r="A37" s="107"/>
      <x:c r="B37" s="107"/>
      <x:c r="C37" s="107"/>
      <x:c r="D37" s="107"/>
      <x:c r="E37" s="111"/>
      <x:c r="F37" s="111"/>
      <x:c r="G37" s="109"/>
      <x:c r="H37" s="107"/>
      <x:c r="I37" s="111"/>
      <x:c r="J37" s="107"/>
      <x:c r="K37" t="str">
        <x:f>IF(COUNTA(A37:J37)=0,"",IF(OR(A37="",B37="",D37="",G37="",H37=""),"Complete entry",IF(G37&lt;=0,"Check amount",IF(H37="Cancelled","Cancelled",IF(H37="Cleared",IF(I37="","Enter cash date","Cleared"),IF(H37="Bounced","Follow up bounced",IF(F37="","Enter expected date",IF(F37&lt;'Data &amp; Targets'!$C$10,"Overdue",IF(F37&lt;'Data &amp; Targets'!$C$10+30,"Due next 30 days","Pending")))))))))</x:f>
      </x:c>
    </x:row>
    <x:row r="38" ht="22" customHeight="1">
      <x:c r="A38" s="107"/>
      <x:c r="B38" s="107"/>
      <x:c r="C38" s="107"/>
      <x:c r="D38" s="107"/>
      <x:c r="E38" s="111"/>
      <x:c r="F38" s="111"/>
      <x:c r="G38" s="109"/>
      <x:c r="H38" s="107"/>
      <x:c r="I38" s="111"/>
      <x:c r="J38" s="107"/>
      <x:c r="K38" t="str">
        <x:f>IF(COUNTA(A38:J38)=0,"",IF(OR(A38="",B38="",D38="",G38="",H38=""),"Complete entry",IF(G38&lt;=0,"Check amount",IF(H38="Cancelled","Cancelled",IF(H38="Cleared",IF(I38="","Enter cash date","Cleared"),IF(H38="Bounced","Follow up bounced",IF(F38="","Enter expected date",IF(F38&lt;'Data &amp; Targets'!$C$10,"Overdue",IF(F38&lt;'Data &amp; Targets'!$C$10+30,"Due next 30 days","Pending")))))))))</x:f>
      </x:c>
    </x:row>
    <x:row r="39" ht="22" customHeight="1">
      <x:c r="A39" s="107"/>
      <x:c r="B39" s="107"/>
      <x:c r="C39" s="107"/>
      <x:c r="D39" s="107"/>
      <x:c r="E39" s="111"/>
      <x:c r="F39" s="111"/>
      <x:c r="G39" s="109"/>
      <x:c r="H39" s="107"/>
      <x:c r="I39" s="111"/>
      <x:c r="J39" s="107"/>
      <x:c r="K39" t="str">
        <x:f>IF(COUNTA(A39:J39)=0,"",IF(OR(A39="",B39="",D39="",G39="",H39=""),"Complete entry",IF(G39&lt;=0,"Check amount",IF(H39="Cancelled","Cancelled",IF(H39="Cleared",IF(I39="","Enter cash date","Cleared"),IF(H39="Bounced","Follow up bounced",IF(F39="","Enter expected date",IF(F39&lt;'Data &amp; Targets'!$C$10,"Overdue",IF(F39&lt;'Data &amp; Targets'!$C$10+30,"Due next 30 days","Pending")))))))))</x:f>
      </x:c>
    </x:row>
    <x:row r="40" ht="22" customHeight="1">
      <x:c r="A40" s="107"/>
      <x:c r="B40" s="107"/>
      <x:c r="C40" s="107"/>
      <x:c r="D40" s="107"/>
      <x:c r="E40" s="111"/>
      <x:c r="F40" s="111"/>
      <x:c r="G40" s="109"/>
      <x:c r="H40" s="107"/>
      <x:c r="I40" s="111"/>
      <x:c r="J40" s="107"/>
      <x:c r="K40" t="str">
        <x:f>IF(COUNTA(A40:J40)=0,"",IF(OR(A40="",B40="",D40="",G40="",H40=""),"Complete entry",IF(G40&lt;=0,"Check amount",IF(H40="Cancelled","Cancelled",IF(H40="Cleared",IF(I40="","Enter cash date","Cleared"),IF(H40="Bounced","Follow up bounced",IF(F40="","Enter expected date",IF(F40&lt;'Data &amp; Targets'!$C$10,"Overdue",IF(F40&lt;'Data &amp; Targets'!$C$10+30,"Due next 30 days","Pending")))))))))</x:f>
      </x:c>
    </x:row>
    <x:row r="41" ht="22" customHeight="1">
      <x:c r="A41" s="107"/>
      <x:c r="B41" s="107"/>
      <x:c r="C41" s="107"/>
      <x:c r="D41" s="107"/>
      <x:c r="E41" s="111"/>
      <x:c r="F41" s="111"/>
      <x:c r="G41" s="109"/>
      <x:c r="H41" s="107"/>
      <x:c r="I41" s="111"/>
      <x:c r="J41" s="107"/>
      <x:c r="K41" t="str">
        <x:f>IF(COUNTA(A41:J41)=0,"",IF(OR(A41="",B41="",D41="",G41="",H41=""),"Complete entry",IF(G41&lt;=0,"Check amount",IF(H41="Cancelled","Cancelled",IF(H41="Cleared",IF(I41="","Enter cash date","Cleared"),IF(H41="Bounced","Follow up bounced",IF(F41="","Enter expected date",IF(F41&lt;'Data &amp; Targets'!$C$10,"Overdue",IF(F41&lt;'Data &amp; Targets'!$C$10+30,"Due next 30 days","Pending")))))))))</x:f>
      </x:c>
    </x:row>
    <x:row r="42" ht="22" customHeight="1">
      <x:c r="A42" s="107"/>
      <x:c r="B42" s="107"/>
      <x:c r="C42" s="107"/>
      <x:c r="D42" s="107"/>
      <x:c r="E42" s="111"/>
      <x:c r="F42" s="111"/>
      <x:c r="G42" s="109"/>
      <x:c r="H42" s="107"/>
      <x:c r="I42" s="111"/>
      <x:c r="J42" s="107"/>
      <x:c r="K42" t="str">
        <x:f>IF(COUNTA(A42:J42)=0,"",IF(OR(A42="",B42="",D42="",G42="",H42=""),"Complete entry",IF(G42&lt;=0,"Check amount",IF(H42="Cancelled","Cancelled",IF(H42="Cleared",IF(I42="","Enter cash date","Cleared"),IF(H42="Bounced","Follow up bounced",IF(F42="","Enter expected date",IF(F42&lt;'Data &amp; Targets'!$C$10,"Overdue",IF(F42&lt;'Data &amp; Targets'!$C$10+30,"Due next 30 days","Pending")))))))))</x:f>
      </x:c>
    </x:row>
    <x:row r="43" ht="22" customHeight="1">
      <x:c r="A43" s="107"/>
      <x:c r="B43" s="107"/>
      <x:c r="C43" s="107"/>
      <x:c r="D43" s="107"/>
      <x:c r="E43" s="111"/>
      <x:c r="F43" s="111"/>
      <x:c r="G43" s="109"/>
      <x:c r="H43" s="107"/>
      <x:c r="I43" s="111"/>
      <x:c r="J43" s="107"/>
      <x:c r="K43" t="str">
        <x:f>IF(COUNTA(A43:J43)=0,"",IF(OR(A43="",B43="",D43="",G43="",H43=""),"Complete entry",IF(G43&lt;=0,"Check amount",IF(H43="Cancelled","Cancelled",IF(H43="Cleared",IF(I43="","Enter cash date","Cleared"),IF(H43="Bounced","Follow up bounced",IF(F43="","Enter expected date",IF(F43&lt;'Data &amp; Targets'!$C$10,"Overdue",IF(F43&lt;'Data &amp; Targets'!$C$10+30,"Due next 30 days","Pending")))))))))</x:f>
      </x:c>
    </x:row>
    <x:row r="44" ht="22" customHeight="1">
      <x:c r="A44" s="107"/>
      <x:c r="B44" s="107"/>
      <x:c r="C44" s="107"/>
      <x:c r="D44" s="107"/>
      <x:c r="E44" s="111"/>
      <x:c r="F44" s="111"/>
      <x:c r="G44" s="109"/>
      <x:c r="H44" s="107"/>
      <x:c r="I44" s="111"/>
      <x:c r="J44" s="107"/>
      <x:c r="K44" t="str">
        <x:f>IF(COUNTA(A44:J44)=0,"",IF(OR(A44="",B44="",D44="",G44="",H44=""),"Complete entry",IF(G44&lt;=0,"Check amount",IF(H44="Cancelled","Cancelled",IF(H44="Cleared",IF(I44="","Enter cash date","Cleared"),IF(H44="Bounced","Follow up bounced",IF(F44="","Enter expected date",IF(F44&lt;'Data &amp; Targets'!$C$10,"Overdue",IF(F44&lt;'Data &amp; Targets'!$C$10+30,"Due next 30 days","Pending")))))))))</x:f>
      </x:c>
    </x:row>
    <x:row r="45" ht="22" customHeight="1">
      <x:c r="A45" s="107"/>
      <x:c r="B45" s="107"/>
      <x:c r="C45" s="107"/>
      <x:c r="D45" s="107"/>
      <x:c r="E45" s="111"/>
      <x:c r="F45" s="111"/>
      <x:c r="G45" s="109"/>
      <x:c r="H45" s="107"/>
      <x:c r="I45" s="111"/>
      <x:c r="J45" s="107"/>
      <x:c r="K45" t="str">
        <x:f>IF(COUNTA(A45:J45)=0,"",IF(OR(A45="",B45="",D45="",G45="",H45=""),"Complete entry",IF(G45&lt;=0,"Check amount",IF(H45="Cancelled","Cancelled",IF(H45="Cleared",IF(I45="","Enter cash date","Cleared"),IF(H45="Bounced","Follow up bounced",IF(F45="","Enter expected date",IF(F45&lt;'Data &amp; Targets'!$C$10,"Overdue",IF(F45&lt;'Data &amp; Targets'!$C$10+30,"Due next 30 days","Pending")))))))))</x:f>
      </x:c>
    </x:row>
    <x:row r="46" ht="22" customHeight="1">
      <x:c r="A46" s="107"/>
      <x:c r="B46" s="107"/>
      <x:c r="C46" s="107"/>
      <x:c r="D46" s="107"/>
      <x:c r="E46" s="111"/>
      <x:c r="F46" s="111"/>
      <x:c r="G46" s="109"/>
      <x:c r="H46" s="107"/>
      <x:c r="I46" s="111"/>
      <x:c r="J46" s="107"/>
      <x:c r="K46" t="str">
        <x:f>IF(COUNTA(A46:J46)=0,"",IF(OR(A46="",B46="",D46="",G46="",H46=""),"Complete entry",IF(G46&lt;=0,"Check amount",IF(H46="Cancelled","Cancelled",IF(H46="Cleared",IF(I46="","Enter cash date","Cleared"),IF(H46="Bounced","Follow up bounced",IF(F46="","Enter expected date",IF(F46&lt;'Data &amp; Targets'!$C$10,"Overdue",IF(F46&lt;'Data &amp; Targets'!$C$10+30,"Due next 30 days","Pending")))))))))</x:f>
      </x:c>
    </x:row>
    <x:row r="47" ht="22" customHeight="1">
      <x:c r="A47" s="107"/>
      <x:c r="B47" s="107"/>
      <x:c r="C47" s="107"/>
      <x:c r="D47" s="107"/>
      <x:c r="E47" s="111"/>
      <x:c r="F47" s="111"/>
      <x:c r="G47" s="109"/>
      <x:c r="H47" s="107"/>
      <x:c r="I47" s="111"/>
      <x:c r="J47" s="107"/>
      <x:c r="K47" t="str">
        <x:f>IF(COUNTA(A47:J47)=0,"",IF(OR(A47="",B47="",D47="",G47="",H47=""),"Complete entry",IF(G47&lt;=0,"Check amount",IF(H47="Cancelled","Cancelled",IF(H47="Cleared",IF(I47="","Enter cash date","Cleared"),IF(H47="Bounced","Follow up bounced",IF(F47="","Enter expected date",IF(F47&lt;'Data &amp; Targets'!$C$10,"Overdue",IF(F47&lt;'Data &amp; Targets'!$C$10+30,"Due next 30 days","Pending")))))))))</x:f>
      </x:c>
    </x:row>
    <x:row r="48" ht="22" customHeight="1">
      <x:c r="A48" s="107"/>
      <x:c r="B48" s="107"/>
      <x:c r="C48" s="107"/>
      <x:c r="D48" s="107"/>
      <x:c r="E48" s="111"/>
      <x:c r="F48" s="111"/>
      <x:c r="G48" s="109"/>
      <x:c r="H48" s="107"/>
      <x:c r="I48" s="111"/>
      <x:c r="J48" s="107"/>
      <x:c r="K48" t="str">
        <x:f>IF(COUNTA(A48:J48)=0,"",IF(OR(A48="",B48="",D48="",G48="",H48=""),"Complete entry",IF(G48&lt;=0,"Check amount",IF(H48="Cancelled","Cancelled",IF(H48="Cleared",IF(I48="","Enter cash date","Cleared"),IF(H48="Bounced","Follow up bounced",IF(F48="","Enter expected date",IF(F48&lt;'Data &amp; Targets'!$C$10,"Overdue",IF(F48&lt;'Data &amp; Targets'!$C$10+30,"Due next 30 days","Pending")))))))))</x:f>
      </x:c>
    </x:row>
    <x:row r="49" ht="22" customHeight="1">
      <x:c r="A49" s="107"/>
      <x:c r="B49" s="107"/>
      <x:c r="C49" s="107"/>
      <x:c r="D49" s="107"/>
      <x:c r="E49" s="111"/>
      <x:c r="F49" s="111"/>
      <x:c r="G49" s="109"/>
      <x:c r="H49" s="107"/>
      <x:c r="I49" s="111"/>
      <x:c r="J49" s="107"/>
      <x:c r="K49" t="str">
        <x:f>IF(COUNTA(A49:J49)=0,"",IF(OR(A49="",B49="",D49="",G49="",H49=""),"Complete entry",IF(G49&lt;=0,"Check amount",IF(H49="Cancelled","Cancelled",IF(H49="Cleared",IF(I49="","Enter cash date","Cleared"),IF(H49="Bounced","Follow up bounced",IF(F49="","Enter expected date",IF(F49&lt;'Data &amp; Targets'!$C$10,"Overdue",IF(F49&lt;'Data &amp; Targets'!$C$10+30,"Due next 30 days","Pending")))))))))</x:f>
      </x:c>
    </x:row>
    <x:row r="50" ht="22" customHeight="1">
      <x:c r="A50" s="107"/>
      <x:c r="B50" s="107"/>
      <x:c r="C50" s="107"/>
      <x:c r="D50" s="107"/>
      <x:c r="E50" s="111"/>
      <x:c r="F50" s="111"/>
      <x:c r="G50" s="109"/>
      <x:c r="H50" s="107"/>
      <x:c r="I50" s="111"/>
      <x:c r="J50" s="107"/>
      <x:c r="K50" t="str">
        <x:f>IF(COUNTA(A50:J50)=0,"",IF(OR(A50="",B50="",D50="",G50="",H50=""),"Complete entry",IF(G50&lt;=0,"Check amount",IF(H50="Cancelled","Cancelled",IF(H50="Cleared",IF(I50="","Enter cash date","Cleared"),IF(H50="Bounced","Follow up bounced",IF(F50="","Enter expected date",IF(F50&lt;'Data &amp; Targets'!$C$10,"Overdue",IF(F50&lt;'Data &amp; Targets'!$C$10+30,"Due next 30 days","Pending")))))))))</x:f>
      </x:c>
    </x:row>
    <x:row r="51" ht="22" customHeight="1">
      <x:c r="A51" s="107"/>
      <x:c r="B51" s="107"/>
      <x:c r="C51" s="107"/>
      <x:c r="D51" s="107"/>
      <x:c r="E51" s="111"/>
      <x:c r="F51" s="111"/>
      <x:c r="G51" s="109"/>
      <x:c r="H51" s="107"/>
      <x:c r="I51" s="111"/>
      <x:c r="J51" s="107"/>
      <x:c r="K51" t="str">
        <x:f>IF(COUNTA(A51:J51)=0,"",IF(OR(A51="",B51="",D51="",G51="",H51=""),"Complete entry",IF(G51&lt;=0,"Check amount",IF(H51="Cancelled","Cancelled",IF(H51="Cleared",IF(I51="","Enter cash date","Cleared"),IF(H51="Bounced","Follow up bounced",IF(F51="","Enter expected date",IF(F51&lt;'Data &amp; Targets'!$C$10,"Overdue",IF(F51&lt;'Data &amp; Targets'!$C$10+30,"Due next 30 days","Pending")))))))))</x:f>
      </x:c>
    </x:row>
    <x:row r="52" ht="22" customHeight="1">
      <x:c r="A52" s="107"/>
      <x:c r="B52" s="107"/>
      <x:c r="C52" s="107"/>
      <x:c r="D52" s="107"/>
      <x:c r="E52" s="111"/>
      <x:c r="F52" s="111"/>
      <x:c r="G52" s="109"/>
      <x:c r="H52" s="107"/>
      <x:c r="I52" s="111"/>
      <x:c r="J52" s="107"/>
      <x:c r="K52" t="str">
        <x:f>IF(COUNTA(A52:J52)=0,"",IF(OR(A52="",B52="",D52="",G52="",H52=""),"Complete entry",IF(G52&lt;=0,"Check amount",IF(H52="Cancelled","Cancelled",IF(H52="Cleared",IF(I52="","Enter cash date","Cleared"),IF(H52="Bounced","Follow up bounced",IF(F52="","Enter expected date",IF(F52&lt;'Data &amp; Targets'!$C$10,"Overdue",IF(F52&lt;'Data &amp; Targets'!$C$10+30,"Due next 30 days","Pending")))))))))</x:f>
      </x:c>
    </x:row>
    <x:row r="53" ht="22" customHeight="1">
      <x:c r="A53" s="107"/>
      <x:c r="B53" s="107"/>
      <x:c r="C53" s="107"/>
      <x:c r="D53" s="107"/>
      <x:c r="E53" s="111"/>
      <x:c r="F53" s="111"/>
      <x:c r="G53" s="109"/>
      <x:c r="H53" s="107"/>
      <x:c r="I53" s="111"/>
      <x:c r="J53" s="107"/>
      <x:c r="K53" t="str">
        <x:f>IF(COUNTA(A53:J53)=0,"",IF(OR(A53="",B53="",D53="",G53="",H53=""),"Complete entry",IF(G53&lt;=0,"Check amount",IF(H53="Cancelled","Cancelled",IF(H53="Cleared",IF(I53="","Enter cash date","Cleared"),IF(H53="Bounced","Follow up bounced",IF(F53="","Enter expected date",IF(F53&lt;'Data &amp; Targets'!$C$10,"Overdue",IF(F53&lt;'Data &amp; Targets'!$C$10+30,"Due next 30 days","Pending")))))))))</x:f>
      </x:c>
    </x:row>
    <x:row r="54" ht="22" customHeight="1">
      <x:c r="A54" s="107"/>
      <x:c r="B54" s="107"/>
      <x:c r="C54" s="107"/>
      <x:c r="D54" s="107"/>
      <x:c r="E54" s="111"/>
      <x:c r="F54" s="111"/>
      <x:c r="G54" s="109"/>
      <x:c r="H54" s="107"/>
      <x:c r="I54" s="111"/>
      <x:c r="J54" s="107"/>
      <x:c r="K54" t="str">
        <x:f>IF(COUNTA(A54:J54)=0,"",IF(OR(A54="",B54="",D54="",G54="",H54=""),"Complete entry",IF(G54&lt;=0,"Check amount",IF(H54="Cancelled","Cancelled",IF(H54="Cleared",IF(I54="","Enter cash date","Cleared"),IF(H54="Bounced","Follow up bounced",IF(F54="","Enter expected date",IF(F54&lt;'Data &amp; Targets'!$C$10,"Overdue",IF(F54&lt;'Data &amp; Targets'!$C$10+30,"Due next 30 days","Pending")))))))))</x:f>
      </x:c>
    </x:row>
    <x:row r="55" ht="22" customHeight="1">
      <x:c r="A55" s="107"/>
      <x:c r="B55" s="107"/>
      <x:c r="C55" s="107"/>
      <x:c r="D55" s="107"/>
      <x:c r="E55" s="111"/>
      <x:c r="F55" s="111"/>
      <x:c r="G55" s="109"/>
      <x:c r="H55" s="107"/>
      <x:c r="I55" s="111"/>
      <x:c r="J55" s="107"/>
      <x:c r="K55" t="str">
        <x:f>IF(COUNTA(A55:J55)=0,"",IF(OR(A55="",B55="",D55="",G55="",H55=""),"Complete entry",IF(G55&lt;=0,"Check amount",IF(H55="Cancelled","Cancelled",IF(H55="Cleared",IF(I55="","Enter cash date","Cleared"),IF(H55="Bounced","Follow up bounced",IF(F55="","Enter expected date",IF(F55&lt;'Data &amp; Targets'!$C$10,"Overdue",IF(F55&lt;'Data &amp; Targets'!$C$10+30,"Due next 30 days","Pending")))))))))</x:f>
      </x:c>
    </x:row>
    <x:row r="56" ht="22" customHeight="1">
      <x:c r="A56" s="107"/>
      <x:c r="B56" s="107"/>
      <x:c r="C56" s="107"/>
      <x:c r="D56" s="107"/>
      <x:c r="E56" s="111"/>
      <x:c r="F56" s="111"/>
      <x:c r="G56" s="109"/>
      <x:c r="H56" s="107"/>
      <x:c r="I56" s="111"/>
      <x:c r="J56" s="107"/>
      <x:c r="K56" t="str">
        <x:f>IF(COUNTA(A56:J56)=0,"",IF(OR(A56="",B56="",D56="",G56="",H56=""),"Complete entry",IF(G56&lt;=0,"Check amount",IF(H56="Cancelled","Cancelled",IF(H56="Cleared",IF(I56="","Enter cash date","Cleared"),IF(H56="Bounced","Follow up bounced",IF(F56="","Enter expected date",IF(F56&lt;'Data &amp; Targets'!$C$10,"Overdue",IF(F56&lt;'Data &amp; Targets'!$C$10+30,"Due next 30 days","Pending")))))))))</x:f>
      </x:c>
    </x:row>
    <x:row r="57" ht="22" customHeight="1">
      <x:c r="A57" s="107"/>
      <x:c r="B57" s="107"/>
      <x:c r="C57" s="107"/>
      <x:c r="D57" s="107"/>
      <x:c r="E57" s="111"/>
      <x:c r="F57" s="111"/>
      <x:c r="G57" s="109"/>
      <x:c r="H57" s="107"/>
      <x:c r="I57" s="111"/>
      <x:c r="J57" s="107"/>
      <x:c r="K57" t="str">
        <x:f>IF(COUNTA(A57:J57)=0,"",IF(OR(A57="",B57="",D57="",G57="",H57=""),"Complete entry",IF(G57&lt;=0,"Check amount",IF(H57="Cancelled","Cancelled",IF(H57="Cleared",IF(I57="","Enter cash date","Cleared"),IF(H57="Bounced","Follow up bounced",IF(F57="","Enter expected date",IF(F57&lt;'Data &amp; Targets'!$C$10,"Overdue",IF(F57&lt;'Data &amp; Targets'!$C$10+30,"Due next 30 days","Pending")))))))))</x:f>
      </x:c>
    </x:row>
    <x:row r="58" ht="22" customHeight="1">
      <x:c r="A58" s="107"/>
      <x:c r="B58" s="107"/>
      <x:c r="C58" s="107"/>
      <x:c r="D58" s="107"/>
      <x:c r="E58" s="111"/>
      <x:c r="F58" s="111"/>
      <x:c r="G58" s="109"/>
      <x:c r="H58" s="107"/>
      <x:c r="I58" s="111"/>
      <x:c r="J58" s="107"/>
      <x:c r="K58" t="str">
        <x:f>IF(COUNTA(A58:J58)=0,"",IF(OR(A58="",B58="",D58="",G58="",H58=""),"Complete entry",IF(G58&lt;=0,"Check amount",IF(H58="Cancelled","Cancelled",IF(H58="Cleared",IF(I58="","Enter cash date","Cleared"),IF(H58="Bounced","Follow up bounced",IF(F58="","Enter expected date",IF(F58&lt;'Data &amp; Targets'!$C$10,"Overdue",IF(F58&lt;'Data &amp; Targets'!$C$10+30,"Due next 30 days","Pending")))))))))</x:f>
      </x:c>
    </x:row>
    <x:row r="59" ht="22" customHeight="1">
      <x:c r="A59" s="107"/>
      <x:c r="B59" s="107"/>
      <x:c r="C59" s="107"/>
      <x:c r="D59" s="107"/>
      <x:c r="E59" s="111"/>
      <x:c r="F59" s="111"/>
      <x:c r="G59" s="109"/>
      <x:c r="H59" s="107"/>
      <x:c r="I59" s="111"/>
      <x:c r="J59" s="107"/>
      <x:c r="K59" t="str">
        <x:f>IF(COUNTA(A59:J59)=0,"",IF(OR(A59="",B59="",D59="",G59="",H59=""),"Complete entry",IF(G59&lt;=0,"Check amount",IF(H59="Cancelled","Cancelled",IF(H59="Cleared",IF(I59="","Enter cash date","Cleared"),IF(H59="Bounced","Follow up bounced",IF(F59="","Enter expected date",IF(F59&lt;'Data &amp; Targets'!$C$10,"Overdue",IF(F59&lt;'Data &amp; Targets'!$C$10+30,"Due next 30 days","Pending")))))))))</x:f>
      </x:c>
    </x:row>
    <x:row r="60" ht="22" customHeight="1">
      <x:c r="A60" s="107"/>
      <x:c r="B60" s="107"/>
      <x:c r="C60" s="107"/>
      <x:c r="D60" s="107"/>
      <x:c r="E60" s="111"/>
      <x:c r="F60" s="111"/>
      <x:c r="G60" s="109"/>
      <x:c r="H60" s="107"/>
      <x:c r="I60" s="111"/>
      <x:c r="J60" s="107"/>
      <x:c r="K60" t="str">
        <x:f>IF(COUNTA(A60:J60)=0,"",IF(OR(A60="",B60="",D60="",G60="",H60=""),"Complete entry",IF(G60&lt;=0,"Check amount",IF(H60="Cancelled","Cancelled",IF(H60="Cleared",IF(I60="","Enter cash date","Cleared"),IF(H60="Bounced","Follow up bounced",IF(F60="","Enter expected date",IF(F60&lt;'Data &amp; Targets'!$C$10,"Overdue",IF(F60&lt;'Data &amp; Targets'!$C$10+30,"Due next 30 days","Pending")))))))))</x:f>
      </x:c>
    </x:row>
    <x:row r="61" ht="22" customHeight="1">
      <x:c r="A61" s="107"/>
      <x:c r="B61" s="107"/>
      <x:c r="C61" s="107"/>
      <x:c r="D61" s="107"/>
      <x:c r="E61" s="111"/>
      <x:c r="F61" s="111"/>
      <x:c r="G61" s="109"/>
      <x:c r="H61" s="107"/>
      <x:c r="I61" s="111"/>
      <x:c r="J61" s="107"/>
      <x:c r="K61" t="str">
        <x:f>IF(COUNTA(A61:J61)=0,"",IF(OR(A61="",B61="",D61="",G61="",H61=""),"Complete entry",IF(G61&lt;=0,"Check amount",IF(H61="Cancelled","Cancelled",IF(H61="Cleared",IF(I61="","Enter cash date","Cleared"),IF(H61="Bounced","Follow up bounced",IF(F61="","Enter expected date",IF(F61&lt;'Data &amp; Targets'!$C$10,"Overdue",IF(F61&lt;'Data &amp; Targets'!$C$10+30,"Due next 30 days","Pending")))))))))</x:f>
      </x:c>
    </x:row>
    <x:row r="62" ht="22" customHeight="1">
      <x:c r="A62" s="107"/>
      <x:c r="B62" s="107"/>
      <x:c r="C62" s="107"/>
      <x:c r="D62" s="107"/>
      <x:c r="E62" s="111"/>
      <x:c r="F62" s="111"/>
      <x:c r="G62" s="109"/>
      <x:c r="H62" s="107"/>
      <x:c r="I62" s="111"/>
      <x:c r="J62" s="107"/>
      <x:c r="K62" t="str">
        <x:f>IF(COUNTA(A62:J62)=0,"",IF(OR(A62="",B62="",D62="",G62="",H62=""),"Complete entry",IF(G62&lt;=0,"Check amount",IF(H62="Cancelled","Cancelled",IF(H62="Cleared",IF(I62="","Enter cash date","Cleared"),IF(H62="Bounced","Follow up bounced",IF(F62="","Enter expected date",IF(F62&lt;'Data &amp; Targets'!$C$10,"Overdue",IF(F62&lt;'Data &amp; Targets'!$C$10+30,"Due next 30 days","Pending")))))))))</x:f>
      </x:c>
    </x:row>
    <x:row r="63" ht="22" customHeight="1">
      <x:c r="A63" s="107"/>
      <x:c r="B63" s="107"/>
      <x:c r="C63" s="107"/>
      <x:c r="D63" s="107"/>
      <x:c r="E63" s="111"/>
      <x:c r="F63" s="111"/>
      <x:c r="G63" s="109"/>
      <x:c r="H63" s="107"/>
      <x:c r="I63" s="111"/>
      <x:c r="J63" s="107"/>
      <x:c r="K63" t="str">
        <x:f>IF(COUNTA(A63:J63)=0,"",IF(OR(A63="",B63="",D63="",G63="",H63=""),"Complete entry",IF(G63&lt;=0,"Check amount",IF(H63="Cancelled","Cancelled",IF(H63="Cleared",IF(I63="","Enter cash date","Cleared"),IF(H63="Bounced","Follow up bounced",IF(F63="","Enter expected date",IF(F63&lt;'Data &amp; Targets'!$C$10,"Overdue",IF(F63&lt;'Data &amp; Targets'!$C$10+30,"Due next 30 days","Pending")))))))))</x:f>
      </x:c>
    </x:row>
    <x:row r="64" ht="22" customHeight="1">
      <x:c r="A64" s="107"/>
      <x:c r="B64" s="107"/>
      <x:c r="C64" s="107"/>
      <x:c r="D64" s="107"/>
      <x:c r="E64" s="111"/>
      <x:c r="F64" s="111"/>
      <x:c r="G64" s="109"/>
      <x:c r="H64" s="107"/>
      <x:c r="I64" s="111"/>
      <x:c r="J64" s="107"/>
      <x:c r="K64" t="str">
        <x:f>IF(COUNTA(A64:J64)=0,"",IF(OR(A64="",B64="",D64="",G64="",H64=""),"Complete entry",IF(G64&lt;=0,"Check amount",IF(H64="Cancelled","Cancelled",IF(H64="Cleared",IF(I64="","Enter cash date","Cleared"),IF(H64="Bounced","Follow up bounced",IF(F64="","Enter expected date",IF(F64&lt;'Data &amp; Targets'!$C$10,"Overdue",IF(F64&lt;'Data &amp; Targets'!$C$10+30,"Due next 30 days","Pending")))))))))</x:f>
      </x:c>
    </x:row>
    <x:row r="65" ht="22" customHeight="1">
      <x:c r="A65" s="107"/>
      <x:c r="B65" s="107"/>
      <x:c r="C65" s="107"/>
      <x:c r="D65" s="107"/>
      <x:c r="E65" s="111"/>
      <x:c r="F65" s="111"/>
      <x:c r="G65" s="109"/>
      <x:c r="H65" s="107"/>
      <x:c r="I65" s="111"/>
      <x:c r="J65" s="107"/>
      <x:c r="K65" t="str">
        <x:f>IF(COUNTA(A65:J65)=0,"",IF(OR(A65="",B65="",D65="",G65="",H65=""),"Complete entry",IF(G65&lt;=0,"Check amount",IF(H65="Cancelled","Cancelled",IF(H65="Cleared",IF(I65="","Enter cash date","Cleared"),IF(H65="Bounced","Follow up bounced",IF(F65="","Enter expected date",IF(F65&lt;'Data &amp; Targets'!$C$10,"Overdue",IF(F65&lt;'Data &amp; Targets'!$C$10+30,"Due next 30 days","Pending")))))))))</x:f>
      </x:c>
    </x:row>
    <x:row r="66" ht="22" customHeight="1">
      <x:c r="A66" s="107"/>
      <x:c r="B66" s="107"/>
      <x:c r="C66" s="107"/>
      <x:c r="D66" s="107"/>
      <x:c r="E66" s="111"/>
      <x:c r="F66" s="111"/>
      <x:c r="G66" s="109"/>
      <x:c r="H66" s="107"/>
      <x:c r="I66" s="111"/>
      <x:c r="J66" s="107"/>
      <x:c r="K66" t="str">
        <x:f>IF(COUNTA(A66:J66)=0,"",IF(OR(A66="",B66="",D66="",G66="",H66=""),"Complete entry",IF(G66&lt;=0,"Check amount",IF(H66="Cancelled","Cancelled",IF(H66="Cleared",IF(I66="","Enter cash date","Cleared"),IF(H66="Bounced","Follow up bounced",IF(F66="","Enter expected date",IF(F66&lt;'Data &amp; Targets'!$C$10,"Overdue",IF(F66&lt;'Data &amp; Targets'!$C$10+30,"Due next 30 days","Pending")))))))))</x:f>
      </x:c>
    </x:row>
    <x:row r="67" ht="22" customHeight="1">
      <x:c r="A67" s="107"/>
      <x:c r="B67" s="107"/>
      <x:c r="C67" s="107"/>
      <x:c r="D67" s="107"/>
      <x:c r="E67" s="111"/>
      <x:c r="F67" s="111"/>
      <x:c r="G67" s="109"/>
      <x:c r="H67" s="107"/>
      <x:c r="I67" s="111"/>
      <x:c r="J67" s="107"/>
      <x:c r="K67" t="str">
        <x:f>IF(COUNTA(A67:J67)=0,"",IF(OR(A67="",B67="",D67="",G67="",H67=""),"Complete entry",IF(G67&lt;=0,"Check amount",IF(H67="Cancelled","Cancelled",IF(H67="Cleared",IF(I67="","Enter cash date","Cleared"),IF(H67="Bounced","Follow up bounced",IF(F67="","Enter expected date",IF(F67&lt;'Data &amp; Targets'!$C$10,"Overdue",IF(F67&lt;'Data &amp; Targets'!$C$10+30,"Due next 30 days","Pending")))))))))</x:f>
      </x:c>
    </x:row>
    <x:row r="68" ht="22" customHeight="1">
      <x:c r="A68" s="107"/>
      <x:c r="B68" s="107"/>
      <x:c r="C68" s="107"/>
      <x:c r="D68" s="107"/>
      <x:c r="E68" s="111"/>
      <x:c r="F68" s="111"/>
      <x:c r="G68" s="109"/>
      <x:c r="H68" s="107"/>
      <x:c r="I68" s="111"/>
      <x:c r="J68" s="107"/>
      <x:c r="K68" t="str">
        <x:f>IF(COUNTA(A68:J68)=0,"",IF(OR(A68="",B68="",D68="",G68="",H68=""),"Complete entry",IF(G68&lt;=0,"Check amount",IF(H68="Cancelled","Cancelled",IF(H68="Cleared",IF(I68="","Enter cash date","Cleared"),IF(H68="Bounced","Follow up bounced",IF(F68="","Enter expected date",IF(F68&lt;'Data &amp; Targets'!$C$10,"Overdue",IF(F68&lt;'Data &amp; Targets'!$C$10+30,"Due next 30 days","Pending")))))))))</x:f>
      </x:c>
    </x:row>
    <x:row r="69" ht="22" customHeight="1">
      <x:c r="A69" s="107"/>
      <x:c r="B69" s="107"/>
      <x:c r="C69" s="107"/>
      <x:c r="D69" s="107"/>
      <x:c r="E69" s="111"/>
      <x:c r="F69" s="111"/>
      <x:c r="G69" s="109"/>
      <x:c r="H69" s="107"/>
      <x:c r="I69" s="111"/>
      <x:c r="J69" s="107"/>
      <x:c r="K69" t="str">
        <x:f>IF(COUNTA(A69:J69)=0,"",IF(OR(A69="",B69="",D69="",G69="",H69=""),"Complete entry",IF(G69&lt;=0,"Check amount",IF(H69="Cancelled","Cancelled",IF(H69="Cleared",IF(I69="","Enter cash date","Cleared"),IF(H69="Bounced","Follow up bounced",IF(F69="","Enter expected date",IF(F69&lt;'Data &amp; Targets'!$C$10,"Overdue",IF(F69&lt;'Data &amp; Targets'!$C$10+30,"Due next 30 days","Pending")))))))))</x:f>
      </x:c>
    </x:row>
    <x:row r="70" ht="22" customHeight="1">
      <x:c r="A70" s="107"/>
      <x:c r="B70" s="107"/>
      <x:c r="C70" s="107"/>
      <x:c r="D70" s="107"/>
      <x:c r="E70" s="111"/>
      <x:c r="F70" s="111"/>
      <x:c r="G70" s="109"/>
      <x:c r="H70" s="107"/>
      <x:c r="I70" s="111"/>
      <x:c r="J70" s="107"/>
      <x:c r="K70" t="str">
        <x:f>IF(COUNTA(A70:J70)=0,"",IF(OR(A70="",B70="",D70="",G70="",H70=""),"Complete entry",IF(G70&lt;=0,"Check amount",IF(H70="Cancelled","Cancelled",IF(H70="Cleared",IF(I70="","Enter cash date","Cleared"),IF(H70="Bounced","Follow up bounced",IF(F70="","Enter expected date",IF(F70&lt;'Data &amp; Targets'!$C$10,"Overdue",IF(F70&lt;'Data &amp; Targets'!$C$10+30,"Due next 30 days","Pending")))))))))</x:f>
      </x:c>
    </x:row>
    <x:row r="71" ht="22" customHeight="1">
      <x:c r="A71" s="107"/>
      <x:c r="B71" s="107"/>
      <x:c r="C71" s="107"/>
      <x:c r="D71" s="107"/>
      <x:c r="E71" s="111"/>
      <x:c r="F71" s="111"/>
      <x:c r="G71" s="109"/>
      <x:c r="H71" s="107"/>
      <x:c r="I71" s="111"/>
      <x:c r="J71" s="107"/>
      <x:c r="K71" t="str">
        <x:f>IF(COUNTA(A71:J71)=0,"",IF(OR(A71="",B71="",D71="",G71="",H71=""),"Complete entry",IF(G71&lt;=0,"Check amount",IF(H71="Cancelled","Cancelled",IF(H71="Cleared",IF(I71="","Enter cash date","Cleared"),IF(H71="Bounced","Follow up bounced",IF(F71="","Enter expected date",IF(F71&lt;'Data &amp; Targets'!$C$10,"Overdue",IF(F71&lt;'Data &amp; Targets'!$C$10+30,"Due next 30 days","Pending")))))))))</x:f>
      </x:c>
    </x:row>
    <x:row r="72" ht="22" customHeight="1">
      <x:c r="A72" s="107"/>
      <x:c r="B72" s="107"/>
      <x:c r="C72" s="107"/>
      <x:c r="D72" s="107"/>
      <x:c r="E72" s="111"/>
      <x:c r="F72" s="111"/>
      <x:c r="G72" s="109"/>
      <x:c r="H72" s="107"/>
      <x:c r="I72" s="111"/>
      <x:c r="J72" s="107"/>
      <x:c r="K72" t="str">
        <x:f>IF(COUNTA(A72:J72)=0,"",IF(OR(A72="",B72="",D72="",G72="",H72=""),"Complete entry",IF(G72&lt;=0,"Check amount",IF(H72="Cancelled","Cancelled",IF(H72="Cleared",IF(I72="","Enter cash date","Cleared"),IF(H72="Bounced","Follow up bounced",IF(F72="","Enter expected date",IF(F72&lt;'Data &amp; Targets'!$C$10,"Overdue",IF(F72&lt;'Data &amp; Targets'!$C$10+30,"Due next 30 days","Pending")))))))))</x:f>
      </x:c>
    </x:row>
    <x:row r="73" ht="22" customHeight="1">
      <x:c r="A73" s="107"/>
      <x:c r="B73" s="107"/>
      <x:c r="C73" s="107"/>
      <x:c r="D73" s="107"/>
      <x:c r="E73" s="111"/>
      <x:c r="F73" s="111"/>
      <x:c r="G73" s="109"/>
      <x:c r="H73" s="107"/>
      <x:c r="I73" s="111"/>
      <x:c r="J73" s="107"/>
      <x:c r="K73" t="str">
        <x:f>IF(COUNTA(A73:J73)=0,"",IF(OR(A73="",B73="",D73="",G73="",H73=""),"Complete entry",IF(G73&lt;=0,"Check amount",IF(H73="Cancelled","Cancelled",IF(H73="Cleared",IF(I73="","Enter cash date","Cleared"),IF(H73="Bounced","Follow up bounced",IF(F73="","Enter expected date",IF(F73&lt;'Data &amp; Targets'!$C$10,"Overdue",IF(F73&lt;'Data &amp; Targets'!$C$10+30,"Due next 30 days","Pending")))))))))</x:f>
      </x:c>
    </x:row>
    <x:row r="74" ht="22" customHeight="1">
      <x:c r="A74" s="107"/>
      <x:c r="B74" s="107"/>
      <x:c r="C74" s="107"/>
      <x:c r="D74" s="107"/>
      <x:c r="E74" s="111"/>
      <x:c r="F74" s="111"/>
      <x:c r="G74" s="109"/>
      <x:c r="H74" s="107"/>
      <x:c r="I74" s="111"/>
      <x:c r="J74" s="107"/>
      <x:c r="K74" t="str">
        <x:f>IF(COUNTA(A74:J74)=0,"",IF(OR(A74="",B74="",D74="",G74="",H74=""),"Complete entry",IF(G74&lt;=0,"Check amount",IF(H74="Cancelled","Cancelled",IF(H74="Cleared",IF(I74="","Enter cash date","Cleared"),IF(H74="Bounced","Follow up bounced",IF(F74="","Enter expected date",IF(F74&lt;'Data &amp; Targets'!$C$10,"Overdue",IF(F74&lt;'Data &amp; Targets'!$C$10+30,"Due next 30 days","Pending")))))))))</x:f>
      </x:c>
    </x:row>
    <x:row r="75" ht="22" customHeight="1">
      <x:c r="A75" s="107"/>
      <x:c r="B75" s="107"/>
      <x:c r="C75" s="107"/>
      <x:c r="D75" s="107"/>
      <x:c r="E75" s="111"/>
      <x:c r="F75" s="111"/>
      <x:c r="G75" s="109"/>
      <x:c r="H75" s="107"/>
      <x:c r="I75" s="111"/>
      <x:c r="J75" s="107"/>
      <x:c r="K75" t="str">
        <x:f>IF(COUNTA(A75:J75)=0,"",IF(OR(A75="",B75="",D75="",G75="",H75=""),"Complete entry",IF(G75&lt;=0,"Check amount",IF(H75="Cancelled","Cancelled",IF(H75="Cleared",IF(I75="","Enter cash date","Cleared"),IF(H75="Bounced","Follow up bounced",IF(F75="","Enter expected date",IF(F75&lt;'Data &amp; Targets'!$C$10,"Overdue",IF(F75&lt;'Data &amp; Targets'!$C$10+30,"Due next 30 days","Pending")))))))))</x:f>
      </x:c>
    </x:row>
    <x:row r="76" ht="22" customHeight="1">
      <x:c r="A76" s="107"/>
      <x:c r="B76" s="107"/>
      <x:c r="C76" s="107"/>
      <x:c r="D76" s="107"/>
      <x:c r="E76" s="111"/>
      <x:c r="F76" s="111"/>
      <x:c r="G76" s="109"/>
      <x:c r="H76" s="107"/>
      <x:c r="I76" s="111"/>
      <x:c r="J76" s="107"/>
      <x:c r="K76" t="str">
        <x:f>IF(COUNTA(A76:J76)=0,"",IF(OR(A76="",B76="",D76="",G76="",H76=""),"Complete entry",IF(G76&lt;=0,"Check amount",IF(H76="Cancelled","Cancelled",IF(H76="Cleared",IF(I76="","Enter cash date","Cleared"),IF(H76="Bounced","Follow up bounced",IF(F76="","Enter expected date",IF(F76&lt;'Data &amp; Targets'!$C$10,"Overdue",IF(F76&lt;'Data &amp; Targets'!$C$10+30,"Due next 30 days","Pending")))))))))</x:f>
      </x:c>
    </x:row>
    <x:row r="77" ht="22" customHeight="1">
      <x:c r="A77" s="107"/>
      <x:c r="B77" s="107"/>
      <x:c r="C77" s="107"/>
      <x:c r="D77" s="107"/>
      <x:c r="E77" s="111"/>
      <x:c r="F77" s="111"/>
      <x:c r="G77" s="109"/>
      <x:c r="H77" s="107"/>
      <x:c r="I77" s="111"/>
      <x:c r="J77" s="107"/>
      <x:c r="K77" t="str">
        <x:f>IF(COUNTA(A77:J77)=0,"",IF(OR(A77="",B77="",D77="",G77="",H77=""),"Complete entry",IF(G77&lt;=0,"Check amount",IF(H77="Cancelled","Cancelled",IF(H77="Cleared",IF(I77="","Enter cash date","Cleared"),IF(H77="Bounced","Follow up bounced",IF(F77="","Enter expected date",IF(F77&lt;'Data &amp; Targets'!$C$10,"Overdue",IF(F77&lt;'Data &amp; Targets'!$C$10+30,"Due next 30 days","Pending")))))))))</x:f>
      </x:c>
    </x:row>
    <x:row r="78" ht="22" customHeight="1">
      <x:c r="A78" s="107"/>
      <x:c r="B78" s="107"/>
      <x:c r="C78" s="107"/>
      <x:c r="D78" s="107"/>
      <x:c r="E78" s="111"/>
      <x:c r="F78" s="111"/>
      <x:c r="G78" s="109"/>
      <x:c r="H78" s="107"/>
      <x:c r="I78" s="111"/>
      <x:c r="J78" s="107"/>
      <x:c r="K78" t="str">
        <x:f>IF(COUNTA(A78:J78)=0,"",IF(OR(A78="",B78="",D78="",G78="",H78=""),"Complete entry",IF(G78&lt;=0,"Check amount",IF(H78="Cancelled","Cancelled",IF(H78="Cleared",IF(I78="","Enter cash date","Cleared"),IF(H78="Bounced","Follow up bounced",IF(F78="","Enter expected date",IF(F78&lt;'Data &amp; Targets'!$C$10,"Overdue",IF(F78&lt;'Data &amp; Targets'!$C$10+30,"Due next 30 days","Pending")))))))))</x:f>
      </x:c>
    </x:row>
    <x:row r="79" ht="22" customHeight="1">
      <x:c r="A79" s="107"/>
      <x:c r="B79" s="107"/>
      <x:c r="C79" s="107"/>
      <x:c r="D79" s="107"/>
      <x:c r="E79" s="111"/>
      <x:c r="F79" s="111"/>
      <x:c r="G79" s="109"/>
      <x:c r="H79" s="107"/>
      <x:c r="I79" s="111"/>
      <x:c r="J79" s="107"/>
      <x:c r="K79" t="str">
        <x:f>IF(COUNTA(A79:J79)=0,"",IF(OR(A79="",B79="",D79="",G79="",H79=""),"Complete entry",IF(G79&lt;=0,"Check amount",IF(H79="Cancelled","Cancelled",IF(H79="Cleared",IF(I79="","Enter cash date","Cleared"),IF(H79="Bounced","Follow up bounced",IF(F79="","Enter expected date",IF(F79&lt;'Data &amp; Targets'!$C$10,"Overdue",IF(F79&lt;'Data &amp; Targets'!$C$10+30,"Due next 30 days","Pending")))))))))</x:f>
      </x:c>
    </x:row>
    <x:row r="80" ht="22" customHeight="1">
      <x:c r="A80" s="107"/>
      <x:c r="B80" s="107"/>
      <x:c r="C80" s="107"/>
      <x:c r="D80" s="107"/>
      <x:c r="E80" s="111"/>
      <x:c r="F80" s="111"/>
      <x:c r="G80" s="109"/>
      <x:c r="H80" s="107"/>
      <x:c r="I80" s="111"/>
      <x:c r="J80" s="107"/>
      <x:c r="K80" t="str">
        <x:f>IF(COUNTA(A80:J80)=0,"",IF(OR(A80="",B80="",D80="",G80="",H80=""),"Complete entry",IF(G80&lt;=0,"Check amount",IF(H80="Cancelled","Cancelled",IF(H80="Cleared",IF(I80="","Enter cash date","Cleared"),IF(H80="Bounced","Follow up bounced",IF(F80="","Enter expected date",IF(F80&lt;'Data &amp; Targets'!$C$10,"Overdue",IF(F80&lt;'Data &amp; Targets'!$C$10+30,"Due next 30 days","Pending")))))))))</x:f>
      </x:c>
    </x:row>
    <x:row r="81" ht="22" customHeight="1">
      <x:c r="A81" s="107"/>
      <x:c r="B81" s="107"/>
      <x:c r="C81" s="107"/>
      <x:c r="D81" s="107"/>
      <x:c r="E81" s="111"/>
      <x:c r="F81" s="111"/>
      <x:c r="G81" s="109"/>
      <x:c r="H81" s="107"/>
      <x:c r="I81" s="111"/>
      <x:c r="J81" s="107"/>
      <x:c r="K81" t="str">
        <x:f>IF(COUNTA(A81:J81)=0,"",IF(OR(A81="",B81="",D81="",G81="",H81=""),"Complete entry",IF(G81&lt;=0,"Check amount",IF(H81="Cancelled","Cancelled",IF(H81="Cleared",IF(I81="","Enter cash date","Cleared"),IF(H81="Bounced","Follow up bounced",IF(F81="","Enter expected date",IF(F81&lt;'Data &amp; Targets'!$C$10,"Overdue",IF(F81&lt;'Data &amp; Targets'!$C$10+30,"Due next 30 days","Pending")))))))))</x:f>
      </x:c>
    </x:row>
    <x:row r="82" ht="22" customHeight="1">
      <x:c r="A82" s="107"/>
      <x:c r="B82" s="107"/>
      <x:c r="C82" s="107"/>
      <x:c r="D82" s="107"/>
      <x:c r="E82" s="111"/>
      <x:c r="F82" s="111"/>
      <x:c r="G82" s="109"/>
      <x:c r="H82" s="107"/>
      <x:c r="I82" s="111"/>
      <x:c r="J82" s="107"/>
      <x:c r="K82" t="str">
        <x:f>IF(COUNTA(A82:J82)=0,"",IF(OR(A82="",B82="",D82="",G82="",H82=""),"Complete entry",IF(G82&lt;=0,"Check amount",IF(H82="Cancelled","Cancelled",IF(H82="Cleared",IF(I82="","Enter cash date","Cleared"),IF(H82="Bounced","Follow up bounced",IF(F82="","Enter expected date",IF(F82&lt;'Data &amp; Targets'!$C$10,"Overdue",IF(F82&lt;'Data &amp; Targets'!$C$10+30,"Due next 30 days","Pending")))))))))</x:f>
      </x:c>
    </x:row>
    <x:row r="83" ht="22" customHeight="1">
      <x:c r="A83" s="107"/>
      <x:c r="B83" s="107"/>
      <x:c r="C83" s="107"/>
      <x:c r="D83" s="107"/>
      <x:c r="E83" s="111"/>
      <x:c r="F83" s="111"/>
      <x:c r="G83" s="109"/>
      <x:c r="H83" s="107"/>
      <x:c r="I83" s="111"/>
      <x:c r="J83" s="107"/>
      <x:c r="K83" t="str">
        <x:f>IF(COUNTA(A83:J83)=0,"",IF(OR(A83="",B83="",D83="",G83="",H83=""),"Complete entry",IF(G83&lt;=0,"Check amount",IF(H83="Cancelled","Cancelled",IF(H83="Cleared",IF(I83="","Enter cash date","Cleared"),IF(H83="Bounced","Follow up bounced",IF(F83="","Enter expected date",IF(F83&lt;'Data &amp; Targets'!$C$10,"Overdue",IF(F83&lt;'Data &amp; Targets'!$C$10+30,"Due next 30 days","Pending")))))))))</x:f>
      </x:c>
    </x:row>
    <x:row r="84" ht="22" customHeight="1">
      <x:c r="A84" s="107"/>
      <x:c r="B84" s="107"/>
      <x:c r="C84" s="107"/>
      <x:c r="D84" s="107"/>
      <x:c r="E84" s="111"/>
      <x:c r="F84" s="111"/>
      <x:c r="G84" s="109"/>
      <x:c r="H84" s="107"/>
      <x:c r="I84" s="111"/>
      <x:c r="J84" s="107"/>
      <x:c r="K84" t="str">
        <x:f>IF(COUNTA(A84:J84)=0,"",IF(OR(A84="",B84="",D84="",G84="",H84=""),"Complete entry",IF(G84&lt;=0,"Check amount",IF(H84="Cancelled","Cancelled",IF(H84="Cleared",IF(I84="","Enter cash date","Cleared"),IF(H84="Bounced","Follow up bounced",IF(F84="","Enter expected date",IF(F84&lt;'Data &amp; Targets'!$C$10,"Overdue",IF(F84&lt;'Data &amp; Targets'!$C$10+30,"Due next 30 days","Pending")))))))))</x:f>
      </x:c>
    </x:row>
    <x:row r="85" ht="22" customHeight="1">
      <x:c r="A85" s="107"/>
      <x:c r="B85" s="107"/>
      <x:c r="C85" s="107"/>
      <x:c r="D85" s="107"/>
      <x:c r="E85" s="111"/>
      <x:c r="F85" s="111"/>
      <x:c r="G85" s="109"/>
      <x:c r="H85" s="107"/>
      <x:c r="I85" s="111"/>
      <x:c r="J85" s="107"/>
      <x:c r="K85" t="str">
        <x:f>IF(COUNTA(A85:J85)=0,"",IF(OR(A85="",B85="",D85="",G85="",H85=""),"Complete entry",IF(G85&lt;=0,"Check amount",IF(H85="Cancelled","Cancelled",IF(H85="Cleared",IF(I85="","Enter cash date","Cleared"),IF(H85="Bounced","Follow up bounced",IF(F85="","Enter expected date",IF(F85&lt;'Data &amp; Targets'!$C$10,"Overdue",IF(F85&lt;'Data &amp; Targets'!$C$10+30,"Due next 30 days","Pending")))))))))</x:f>
      </x:c>
    </x:row>
    <x:row r="86" ht="22" customHeight="1">
      <x:c r="A86" s="107"/>
      <x:c r="B86" s="107"/>
      <x:c r="C86" s="107"/>
      <x:c r="D86" s="107"/>
      <x:c r="E86" s="111"/>
      <x:c r="F86" s="111"/>
      <x:c r="G86" s="109"/>
      <x:c r="H86" s="107"/>
      <x:c r="I86" s="111"/>
      <x:c r="J86" s="107"/>
      <x:c r="K86" t="str">
        <x:f>IF(COUNTA(A86:J86)=0,"",IF(OR(A86="",B86="",D86="",G86="",H86=""),"Complete entry",IF(G86&lt;=0,"Check amount",IF(H86="Cancelled","Cancelled",IF(H86="Cleared",IF(I86="","Enter cash date","Cleared"),IF(H86="Bounced","Follow up bounced",IF(F86="","Enter expected date",IF(F86&lt;'Data &amp; Targets'!$C$10,"Overdue",IF(F86&lt;'Data &amp; Targets'!$C$10+30,"Due next 30 days","Pending")))))))))</x:f>
      </x:c>
    </x:row>
    <x:row r="87" ht="22" customHeight="1">
      <x:c r="A87" s="107"/>
      <x:c r="B87" s="107"/>
      <x:c r="C87" s="107"/>
      <x:c r="D87" s="107"/>
      <x:c r="E87" s="111"/>
      <x:c r="F87" s="111"/>
      <x:c r="G87" s="109"/>
      <x:c r="H87" s="107"/>
      <x:c r="I87" s="111"/>
      <x:c r="J87" s="107"/>
      <x:c r="K87" t="str">
        <x:f>IF(COUNTA(A87:J87)=0,"",IF(OR(A87="",B87="",D87="",G87="",H87=""),"Complete entry",IF(G87&lt;=0,"Check amount",IF(H87="Cancelled","Cancelled",IF(H87="Cleared",IF(I87="","Enter cash date","Cleared"),IF(H87="Bounced","Follow up bounced",IF(F87="","Enter expected date",IF(F87&lt;'Data &amp; Targets'!$C$10,"Overdue",IF(F87&lt;'Data &amp; Targets'!$C$10+30,"Due next 30 days","Pending")))))))))</x:f>
      </x:c>
    </x:row>
    <x:row r="88" ht="22" customHeight="1">
      <x:c r="A88" s="107"/>
      <x:c r="B88" s="107"/>
      <x:c r="C88" s="107"/>
      <x:c r="D88" s="107"/>
      <x:c r="E88" s="111"/>
      <x:c r="F88" s="111"/>
      <x:c r="G88" s="109"/>
      <x:c r="H88" s="107"/>
      <x:c r="I88" s="111"/>
      <x:c r="J88" s="107"/>
      <x:c r="K88" t="str">
        <x:f>IF(COUNTA(A88:J88)=0,"",IF(OR(A88="",B88="",D88="",G88="",H88=""),"Complete entry",IF(G88&lt;=0,"Check amount",IF(H88="Cancelled","Cancelled",IF(H88="Cleared",IF(I88="","Enter cash date","Cleared"),IF(H88="Bounced","Follow up bounced",IF(F88="","Enter expected date",IF(F88&lt;'Data &amp; Targets'!$C$10,"Overdue",IF(F88&lt;'Data &amp; Targets'!$C$10+30,"Due next 30 days","Pending")))))))))</x:f>
      </x:c>
    </x:row>
    <x:row r="89" ht="22" customHeight="1">
      <x:c r="A89" s="107"/>
      <x:c r="B89" s="107"/>
      <x:c r="C89" s="107"/>
      <x:c r="D89" s="107"/>
      <x:c r="E89" s="111"/>
      <x:c r="F89" s="111"/>
      <x:c r="G89" s="109"/>
      <x:c r="H89" s="107"/>
      <x:c r="I89" s="111"/>
      <x:c r="J89" s="107"/>
      <x:c r="K89" t="str">
        <x:f>IF(COUNTA(A89:J89)=0,"",IF(OR(A89="",B89="",D89="",G89="",H89=""),"Complete entry",IF(G89&lt;=0,"Check amount",IF(H89="Cancelled","Cancelled",IF(H89="Cleared",IF(I89="","Enter cash date","Cleared"),IF(H89="Bounced","Follow up bounced",IF(F89="","Enter expected date",IF(F89&lt;'Data &amp; Targets'!$C$10,"Overdue",IF(F89&lt;'Data &amp; Targets'!$C$10+30,"Due next 30 days","Pending")))))))))</x:f>
      </x:c>
    </x:row>
    <x:row r="90" ht="22" customHeight="1">
      <x:c r="A90" s="107"/>
      <x:c r="B90" s="107"/>
      <x:c r="C90" s="107"/>
      <x:c r="D90" s="107"/>
      <x:c r="E90" s="111"/>
      <x:c r="F90" s="111"/>
      <x:c r="G90" s="109"/>
      <x:c r="H90" s="107"/>
      <x:c r="I90" s="111"/>
      <x:c r="J90" s="107"/>
      <x:c r="K90" t="str">
        <x:f>IF(COUNTA(A90:J90)=0,"",IF(OR(A90="",B90="",D90="",G90="",H90=""),"Complete entry",IF(G90&lt;=0,"Check amount",IF(H90="Cancelled","Cancelled",IF(H90="Cleared",IF(I90="","Enter cash date","Cleared"),IF(H90="Bounced","Follow up bounced",IF(F90="","Enter expected date",IF(F90&lt;'Data &amp; Targets'!$C$10,"Overdue",IF(F90&lt;'Data &amp; Targets'!$C$10+30,"Due next 30 days","Pending")))))))))</x:f>
      </x:c>
    </x:row>
    <x:row r="91" ht="22" customHeight="1">
      <x:c r="A91" s="107"/>
      <x:c r="B91" s="107"/>
      <x:c r="C91" s="107"/>
      <x:c r="D91" s="107"/>
      <x:c r="E91" s="111"/>
      <x:c r="F91" s="111"/>
      <x:c r="G91" s="109"/>
      <x:c r="H91" s="107"/>
      <x:c r="I91" s="111"/>
      <x:c r="J91" s="107"/>
      <x:c r="K91" t="str">
        <x:f>IF(COUNTA(A91:J91)=0,"",IF(OR(A91="",B91="",D91="",G91="",H91=""),"Complete entry",IF(G91&lt;=0,"Check amount",IF(H91="Cancelled","Cancelled",IF(H91="Cleared",IF(I91="","Enter cash date","Cleared"),IF(H91="Bounced","Follow up bounced",IF(F91="","Enter expected date",IF(F91&lt;'Data &amp; Targets'!$C$10,"Overdue",IF(F91&lt;'Data &amp; Targets'!$C$10+30,"Due next 30 days","Pending")))))))))</x:f>
      </x:c>
    </x:row>
    <x:row r="92" ht="22" customHeight="1">
      <x:c r="A92" s="107"/>
      <x:c r="B92" s="107"/>
      <x:c r="C92" s="107"/>
      <x:c r="D92" s="107"/>
      <x:c r="E92" s="111"/>
      <x:c r="F92" s="111"/>
      <x:c r="G92" s="109"/>
      <x:c r="H92" s="107"/>
      <x:c r="I92" s="111"/>
      <x:c r="J92" s="107"/>
      <x:c r="K92" t="str">
        <x:f>IF(COUNTA(A92:J92)=0,"",IF(OR(A92="",B92="",D92="",G92="",H92=""),"Complete entry",IF(G92&lt;=0,"Check amount",IF(H92="Cancelled","Cancelled",IF(H92="Cleared",IF(I92="","Enter cash date","Cleared"),IF(H92="Bounced","Follow up bounced",IF(F92="","Enter expected date",IF(F92&lt;'Data &amp; Targets'!$C$10,"Overdue",IF(F92&lt;'Data &amp; Targets'!$C$10+30,"Due next 30 days","Pending")))))))))</x:f>
      </x:c>
    </x:row>
    <x:row r="93" ht="22" customHeight="1">
      <x:c r="A93" s="107"/>
      <x:c r="B93" s="107"/>
      <x:c r="C93" s="107"/>
      <x:c r="D93" s="107"/>
      <x:c r="E93" s="111"/>
      <x:c r="F93" s="111"/>
      <x:c r="G93" s="109"/>
      <x:c r="H93" s="107"/>
      <x:c r="I93" s="111"/>
      <x:c r="J93" s="107"/>
      <x:c r="K93" t="str">
        <x:f>IF(COUNTA(A93:J93)=0,"",IF(OR(A93="",B93="",D93="",G93="",H93=""),"Complete entry",IF(G93&lt;=0,"Check amount",IF(H93="Cancelled","Cancelled",IF(H93="Cleared",IF(I93="","Enter cash date","Cleared"),IF(H93="Bounced","Follow up bounced",IF(F93="","Enter expected date",IF(F93&lt;'Data &amp; Targets'!$C$10,"Overdue",IF(F93&lt;'Data &amp; Targets'!$C$10+30,"Due next 30 days","Pending")))))))))</x:f>
      </x:c>
    </x:row>
    <x:row r="94" ht="22" customHeight="1">
      <x:c r="A94" s="107"/>
      <x:c r="B94" s="107"/>
      <x:c r="C94" s="107"/>
      <x:c r="D94" s="107"/>
      <x:c r="E94" s="111"/>
      <x:c r="F94" s="111"/>
      <x:c r="G94" s="109"/>
      <x:c r="H94" s="107"/>
      <x:c r="I94" s="111"/>
      <x:c r="J94" s="107"/>
      <x:c r="K94" t="str">
        <x:f>IF(COUNTA(A94:J94)=0,"",IF(OR(A94="",B94="",D94="",G94="",H94=""),"Complete entry",IF(G94&lt;=0,"Check amount",IF(H94="Cancelled","Cancelled",IF(H94="Cleared",IF(I94="","Enter cash date","Cleared"),IF(H94="Bounced","Follow up bounced",IF(F94="","Enter expected date",IF(F94&lt;'Data &amp; Targets'!$C$10,"Overdue",IF(F94&lt;'Data &amp; Targets'!$C$10+30,"Due next 30 days","Pending")))))))))</x:f>
      </x:c>
    </x:row>
    <x:row r="95" ht="22" customHeight="1">
      <x:c r="A95" s="107"/>
      <x:c r="B95" s="107"/>
      <x:c r="C95" s="107"/>
      <x:c r="D95" s="107"/>
      <x:c r="E95" s="111"/>
      <x:c r="F95" s="111"/>
      <x:c r="G95" s="109"/>
      <x:c r="H95" s="107"/>
      <x:c r="I95" s="111"/>
      <x:c r="J95" s="107"/>
      <x:c r="K95" t="str">
        <x:f>IF(COUNTA(A95:J95)=0,"",IF(OR(A95="",B95="",D95="",G95="",H95=""),"Complete entry",IF(G95&lt;=0,"Check amount",IF(H95="Cancelled","Cancelled",IF(H95="Cleared",IF(I95="","Enter cash date","Cleared"),IF(H95="Bounced","Follow up bounced",IF(F95="","Enter expected date",IF(F95&lt;'Data &amp; Targets'!$C$10,"Overdue",IF(F95&lt;'Data &amp; Targets'!$C$10+30,"Due next 30 days","Pending")))))))))</x:f>
      </x:c>
    </x:row>
    <x:row r="96" ht="22" customHeight="1">
      <x:c r="A96" s="107"/>
      <x:c r="B96" s="107"/>
      <x:c r="C96" s="107"/>
      <x:c r="D96" s="107"/>
      <x:c r="E96" s="111"/>
      <x:c r="F96" s="111"/>
      <x:c r="G96" s="109"/>
      <x:c r="H96" s="107"/>
      <x:c r="I96" s="111"/>
      <x:c r="J96" s="107"/>
      <x:c r="K96" t="str">
        <x:f>IF(COUNTA(A96:J96)=0,"",IF(OR(A96="",B96="",D96="",G96="",H96=""),"Complete entry",IF(G96&lt;=0,"Check amount",IF(H96="Cancelled","Cancelled",IF(H96="Cleared",IF(I96="","Enter cash date","Cleared"),IF(H96="Bounced","Follow up bounced",IF(F96="","Enter expected date",IF(F96&lt;'Data &amp; Targets'!$C$10,"Overdue",IF(F96&lt;'Data &amp; Targets'!$C$10+30,"Due next 30 days","Pending")))))))))</x:f>
      </x:c>
    </x:row>
    <x:row r="97" ht="22" customHeight="1">
      <x:c r="A97" s="107"/>
      <x:c r="B97" s="107"/>
      <x:c r="C97" s="107"/>
      <x:c r="D97" s="107"/>
      <x:c r="E97" s="111"/>
      <x:c r="F97" s="111"/>
      <x:c r="G97" s="109"/>
      <x:c r="H97" s="107"/>
      <x:c r="I97" s="111"/>
      <x:c r="J97" s="107"/>
      <x:c r="K97" t="str">
        <x:f>IF(COUNTA(A97:J97)=0,"",IF(OR(A97="",B97="",D97="",G97="",H97=""),"Complete entry",IF(G97&lt;=0,"Check amount",IF(H97="Cancelled","Cancelled",IF(H97="Cleared",IF(I97="","Enter cash date","Cleared"),IF(H97="Bounced","Follow up bounced",IF(F97="","Enter expected date",IF(F97&lt;'Data &amp; Targets'!$C$10,"Overdue",IF(F97&lt;'Data &amp; Targets'!$C$10+30,"Due next 30 days","Pending")))))))))</x:f>
      </x:c>
    </x:row>
    <x:row r="98" ht="22" customHeight="1">
      <x:c r="A98" s="107"/>
      <x:c r="B98" s="107"/>
      <x:c r="C98" s="107"/>
      <x:c r="D98" s="107"/>
      <x:c r="E98" s="111"/>
      <x:c r="F98" s="111"/>
      <x:c r="G98" s="109"/>
      <x:c r="H98" s="107"/>
      <x:c r="I98" s="111"/>
      <x:c r="J98" s="107"/>
      <x:c r="K98" t="str">
        <x:f>IF(COUNTA(A98:J98)=0,"",IF(OR(A98="",B98="",D98="",G98="",H98=""),"Complete entry",IF(G98&lt;=0,"Check amount",IF(H98="Cancelled","Cancelled",IF(H98="Cleared",IF(I98="","Enter cash date","Cleared"),IF(H98="Bounced","Follow up bounced",IF(F98="","Enter expected date",IF(F98&lt;'Data &amp; Targets'!$C$10,"Overdue",IF(F98&lt;'Data &amp; Targets'!$C$10+30,"Due next 30 days","Pending")))))))))</x:f>
      </x:c>
    </x:row>
    <x:row r="99" ht="22" customHeight="1">
      <x:c r="A99" s="107"/>
      <x:c r="B99" s="107"/>
      <x:c r="C99" s="107"/>
      <x:c r="D99" s="107"/>
      <x:c r="E99" s="111"/>
      <x:c r="F99" s="111"/>
      <x:c r="G99" s="109"/>
      <x:c r="H99" s="107"/>
      <x:c r="I99" s="111"/>
      <x:c r="J99" s="107"/>
      <x:c r="K99" t="str">
        <x:f>IF(COUNTA(A99:J99)=0,"",IF(OR(A99="",B99="",D99="",G99="",H99=""),"Complete entry",IF(G99&lt;=0,"Check amount",IF(H99="Cancelled","Cancelled",IF(H99="Cleared",IF(I99="","Enter cash date","Cleared"),IF(H99="Bounced","Follow up bounced",IF(F99="","Enter expected date",IF(F99&lt;'Data &amp; Targets'!$C$10,"Overdue",IF(F99&lt;'Data &amp; Targets'!$C$10+30,"Due next 30 days","Pending")))))))))</x:f>
      </x:c>
    </x:row>
    <x:row r="100" ht="22" customHeight="1">
      <x:c r="A100" s="107"/>
      <x:c r="B100" s="107"/>
      <x:c r="C100" s="107"/>
      <x:c r="D100" s="107"/>
      <x:c r="E100" s="111"/>
      <x:c r="F100" s="111"/>
      <x:c r="G100" s="109"/>
      <x:c r="H100" s="107"/>
      <x:c r="I100" s="111"/>
      <x:c r="J100" s="107"/>
      <x:c r="K100" t="str">
        <x:f>IF(COUNTA(A100:J100)=0,"",IF(OR(A100="",B100="",D100="",G100="",H100=""),"Complete entry",IF(G100&lt;=0,"Check amount",IF(H100="Cancelled","Cancelled",IF(H100="Cleared",IF(I100="","Enter cash date","Cleared"),IF(H100="Bounced","Follow up bounced",IF(F100="","Enter expected date",IF(F100&lt;'Data &amp; Targets'!$C$10,"Overdue",IF(F100&lt;'Data &amp; Targets'!$C$10+30,"Due next 30 days","Pending")))))))))</x:f>
      </x:c>
    </x:row>
    <x:row r="101" ht="22" customHeight="1">
      <x:c r="A101" s="107"/>
      <x:c r="B101" s="107"/>
      <x:c r="C101" s="107"/>
      <x:c r="D101" s="107"/>
      <x:c r="E101" s="111"/>
      <x:c r="F101" s="111"/>
      <x:c r="G101" s="109"/>
      <x:c r="H101" s="107"/>
      <x:c r="I101" s="111"/>
      <x:c r="J101" s="107"/>
      <x:c r="K101" t="str">
        <x:f>IF(COUNTA(A101:J101)=0,"",IF(OR(A101="",B101="",D101="",G101="",H101=""),"Complete entry",IF(G101&lt;=0,"Check amount",IF(H101="Cancelled","Cancelled",IF(H101="Cleared",IF(I101="","Enter cash date","Cleared"),IF(H101="Bounced","Follow up bounced",IF(F101="","Enter expected date",IF(F101&lt;'Data &amp; Targets'!$C$10,"Overdue",IF(F101&lt;'Data &amp; Targets'!$C$10+30,"Due next 30 days","Pending")))))))))</x:f>
      </x:c>
    </x:row>
    <x:row r="102" ht="22" customHeight="1">
      <x:c r="A102" s="107"/>
      <x:c r="B102" s="107"/>
      <x:c r="C102" s="107"/>
      <x:c r="D102" s="107"/>
      <x:c r="E102" s="111"/>
      <x:c r="F102" s="111"/>
      <x:c r="G102" s="109"/>
      <x:c r="H102" s="107"/>
      <x:c r="I102" s="111"/>
      <x:c r="J102" s="107"/>
      <x:c r="K102" t="str">
        <x:f>IF(COUNTA(A102:J102)=0,"",IF(OR(A102="",B102="",D102="",G102="",H102=""),"Complete entry",IF(G102&lt;=0,"Check amount",IF(H102="Cancelled","Cancelled",IF(H102="Cleared",IF(I102="","Enter cash date","Cleared"),IF(H102="Bounced","Follow up bounced",IF(F102="","Enter expected date",IF(F102&lt;'Data &amp; Targets'!$C$10,"Overdue",IF(F102&lt;'Data &amp; Targets'!$C$10+30,"Due next 30 days","Pending")))))))))</x:f>
      </x:c>
    </x:row>
    <x:row r="103" ht="22" customHeight="1">
      <x:c r="A103" s="107"/>
      <x:c r="B103" s="107"/>
      <x:c r="C103" s="107"/>
      <x:c r="D103" s="107"/>
      <x:c r="E103" s="111"/>
      <x:c r="F103" s="111"/>
      <x:c r="G103" s="109"/>
      <x:c r="H103" s="107"/>
      <x:c r="I103" s="111"/>
      <x:c r="J103" s="107"/>
      <x:c r="K103" t="str">
        <x:f>IF(COUNTA(A103:J103)=0,"",IF(OR(A103="",B103="",D103="",G103="",H103=""),"Complete entry",IF(G103&lt;=0,"Check amount",IF(H103="Cancelled","Cancelled",IF(H103="Cleared",IF(I103="","Enter cash date","Cleared"),IF(H103="Bounced","Follow up bounced",IF(F103="","Enter expected date",IF(F103&lt;'Data &amp; Targets'!$C$10,"Overdue",IF(F103&lt;'Data &amp; Targets'!$C$10+30,"Due next 30 days","Pending")))))))))</x:f>
      </x:c>
    </x:row>
    <x:row r="104" ht="22" customHeight="1">
      <x:c r="A104" s="107"/>
      <x:c r="B104" s="107"/>
      <x:c r="C104" s="107"/>
      <x:c r="D104" s="107"/>
      <x:c r="E104" s="111"/>
      <x:c r="F104" s="111"/>
      <x:c r="G104" s="109"/>
      <x:c r="H104" s="107"/>
      <x:c r="I104" s="111"/>
      <x:c r="J104" s="107"/>
      <x:c r="K104" t="str">
        <x:f>IF(COUNTA(A104:J104)=0,"",IF(OR(A104="",B104="",D104="",G104="",H104=""),"Complete entry",IF(G104&lt;=0,"Check amount",IF(H104="Cancelled","Cancelled",IF(H104="Cleared",IF(I104="","Enter cash date","Cleared"),IF(H104="Bounced","Follow up bounced",IF(F104="","Enter expected date",IF(F104&lt;'Data &amp; Targets'!$C$10,"Overdue",IF(F104&lt;'Data &amp; Targets'!$C$10+30,"Due next 30 days","Pending")))))))))</x:f>
      </x:c>
    </x:row>
    <x:row r="105" ht="22" customHeight="1">
      <x:c r="A105" s="107"/>
      <x:c r="B105" s="107"/>
      <x:c r="C105" s="107"/>
      <x:c r="D105" s="107"/>
      <x:c r="E105" s="111"/>
      <x:c r="F105" s="111"/>
      <x:c r="G105" s="109"/>
      <x:c r="H105" s="107"/>
      <x:c r="I105" s="111"/>
      <x:c r="J105" s="107"/>
      <x:c r="K105" t="str">
        <x:f>IF(COUNTA(A105:J105)=0,"",IF(OR(A105="",B105="",D105="",G105="",H105=""),"Complete entry",IF(G105&lt;=0,"Check amount",IF(H105="Cancelled","Cancelled",IF(H105="Cleared",IF(I105="","Enter cash date","Cleared"),IF(H105="Bounced","Follow up bounced",IF(F105="","Enter expected date",IF(F105&lt;'Data &amp; Targets'!$C$10,"Overdue",IF(F105&lt;'Data &amp; Targets'!$C$10+30,"Due next 30 days","Pending")))))))))</x:f>
      </x:c>
    </x:row>
    <x:row r="106" ht="22" customHeight="1">
      <x:c r="A106" s="107"/>
      <x:c r="B106" s="107"/>
      <x:c r="C106" s="107"/>
      <x:c r="D106" s="107"/>
      <x:c r="E106" s="111"/>
      <x:c r="F106" s="111"/>
      <x:c r="G106" s="109"/>
      <x:c r="H106" s="107"/>
      <x:c r="I106" s="111"/>
      <x:c r="J106" s="107"/>
      <x:c r="K106" t="str">
        <x:f>IF(COUNTA(A106:J106)=0,"",IF(OR(A106="",B106="",D106="",G106="",H106=""),"Complete entry",IF(G106&lt;=0,"Check amount",IF(H106="Cancelled","Cancelled",IF(H106="Cleared",IF(I106="","Enter cash date","Cleared"),IF(H106="Bounced","Follow up bounced",IF(F106="","Enter expected date",IF(F106&lt;'Data &amp; Targets'!$C$10,"Overdue",IF(F106&lt;'Data &amp; Targets'!$C$10+30,"Due next 30 days","Pending")))))))))</x:f>
      </x:c>
    </x:row>
    <x:row r="107" ht="22" customHeight="1">
      <x:c r="A107" s="107"/>
      <x:c r="B107" s="107"/>
      <x:c r="C107" s="107"/>
      <x:c r="D107" s="107"/>
      <x:c r="E107" s="111"/>
      <x:c r="F107" s="111"/>
      <x:c r="G107" s="109"/>
      <x:c r="H107" s="107"/>
      <x:c r="I107" s="111"/>
      <x:c r="J107" s="107"/>
      <x:c r="K107" t="str">
        <x:f>IF(COUNTA(A107:J107)=0,"",IF(OR(A107="",B107="",D107="",G107="",H107=""),"Complete entry",IF(G107&lt;=0,"Check amount",IF(H107="Cancelled","Cancelled",IF(H107="Cleared",IF(I107="","Enter cash date","Cleared"),IF(H107="Bounced","Follow up bounced",IF(F107="","Enter expected date",IF(F107&lt;'Data &amp; Targets'!$C$10,"Overdue",IF(F107&lt;'Data &amp; Targets'!$C$10+30,"Due next 30 days","Pending")))))))))</x:f>
      </x:c>
    </x:row>
    <x:row r="108" ht="22" customHeight="1">
      <x:c r="A108" s="107"/>
      <x:c r="B108" s="107"/>
      <x:c r="C108" s="107"/>
      <x:c r="D108" s="107"/>
      <x:c r="E108" s="111"/>
      <x:c r="F108" s="111"/>
      <x:c r="G108" s="109"/>
      <x:c r="H108" s="107"/>
      <x:c r="I108" s="111"/>
      <x:c r="J108" s="107"/>
      <x:c r="K108" t="str">
        <x:f>IF(COUNTA(A108:J108)=0,"",IF(OR(A108="",B108="",D108="",G108="",H108=""),"Complete entry",IF(G108&lt;=0,"Check amount",IF(H108="Cancelled","Cancelled",IF(H108="Cleared",IF(I108="","Enter cash date","Cleared"),IF(H108="Bounced","Follow up bounced",IF(F108="","Enter expected date",IF(F108&lt;'Data &amp; Targets'!$C$10,"Overdue",IF(F108&lt;'Data &amp; Targets'!$C$10+30,"Due next 30 days","Pending")))))))))</x:f>
      </x:c>
    </x:row>
    <x:row r="109" ht="22" customHeight="1">
      <x:c r="A109" s="107"/>
      <x:c r="B109" s="107"/>
      <x:c r="C109" s="107"/>
      <x:c r="D109" s="107"/>
      <x:c r="E109" s="111"/>
      <x:c r="F109" s="111"/>
      <x:c r="G109" s="109"/>
      <x:c r="H109" s="107"/>
      <x:c r="I109" s="111"/>
      <x:c r="J109" s="107"/>
      <x:c r="K109" t="str">
        <x:f>IF(COUNTA(A109:J109)=0,"",IF(OR(A109="",B109="",D109="",G109="",H109=""),"Complete entry",IF(G109&lt;=0,"Check amount",IF(H109="Cancelled","Cancelled",IF(H109="Cleared",IF(I109="","Enter cash date","Cleared"),IF(H109="Bounced","Follow up bounced",IF(F109="","Enter expected date",IF(F109&lt;'Data &amp; Targets'!$C$10,"Overdue",IF(F109&lt;'Data &amp; Targets'!$C$10+30,"Due next 30 days","Pending")))))))))</x:f>
      </x:c>
    </x:row>
    <x:row r="110" ht="22" customHeight="1">
      <x:c r="A110" s="107"/>
      <x:c r="B110" s="107"/>
      <x:c r="C110" s="107"/>
      <x:c r="D110" s="107"/>
      <x:c r="E110" s="111"/>
      <x:c r="F110" s="111"/>
      <x:c r="G110" s="109"/>
      <x:c r="H110" s="107"/>
      <x:c r="I110" s="111"/>
      <x:c r="J110" s="107"/>
      <x:c r="K110" t="str">
        <x:f>IF(COUNTA(A110:J110)=0,"",IF(OR(A110="",B110="",D110="",G110="",H110=""),"Complete entry",IF(G110&lt;=0,"Check amount",IF(H110="Cancelled","Cancelled",IF(H110="Cleared",IF(I110="","Enter cash date","Cleared"),IF(H110="Bounced","Follow up bounced",IF(F110="","Enter expected date",IF(F110&lt;'Data &amp; Targets'!$C$10,"Overdue",IF(F110&lt;'Data &amp; Targets'!$C$10+30,"Due next 30 days","Pending")))))))))</x:f>
      </x:c>
    </x:row>
    <x:row r="111" ht="22" customHeight="1">
      <x:c r="A111" s="107"/>
      <x:c r="B111" s="107"/>
      <x:c r="C111" s="107"/>
      <x:c r="D111" s="107"/>
      <x:c r="E111" s="111"/>
      <x:c r="F111" s="111"/>
      <x:c r="G111" s="109"/>
      <x:c r="H111" s="107"/>
      <x:c r="I111" s="111"/>
      <x:c r="J111" s="107"/>
      <x:c r="K111" t="str">
        <x:f>IF(COUNTA(A111:J111)=0,"",IF(OR(A111="",B111="",D111="",G111="",H111=""),"Complete entry",IF(G111&lt;=0,"Check amount",IF(H111="Cancelled","Cancelled",IF(H111="Cleared",IF(I111="","Enter cash date","Cleared"),IF(H111="Bounced","Follow up bounced",IF(F111="","Enter expected date",IF(F111&lt;'Data &amp; Targets'!$C$10,"Overdue",IF(F111&lt;'Data &amp; Targets'!$C$10+30,"Due next 30 days","Pending")))))))))</x:f>
      </x:c>
    </x:row>
    <x:row r="112" ht="22" customHeight="1">
      <x:c r="A112" s="107"/>
      <x:c r="B112" s="107"/>
      <x:c r="C112" s="107"/>
      <x:c r="D112" s="107"/>
      <x:c r="E112" s="111"/>
      <x:c r="F112" s="111"/>
      <x:c r="G112" s="109"/>
      <x:c r="H112" s="107"/>
      <x:c r="I112" s="111"/>
      <x:c r="J112" s="107"/>
      <x:c r="K112" t="str">
        <x:f>IF(COUNTA(A112:J112)=0,"",IF(OR(A112="",B112="",D112="",G112="",H112=""),"Complete entry",IF(G112&lt;=0,"Check amount",IF(H112="Cancelled","Cancelled",IF(H112="Cleared",IF(I112="","Enter cash date","Cleared"),IF(H112="Bounced","Follow up bounced",IF(F112="","Enter expected date",IF(F112&lt;'Data &amp; Targets'!$C$10,"Overdue",IF(F112&lt;'Data &amp; Targets'!$C$10+30,"Due next 30 days","Pending")))))))))</x:f>
      </x:c>
    </x:row>
    <x:row r="113" ht="22" customHeight="1">
      <x:c r="A113" s="107"/>
      <x:c r="B113" s="107"/>
      <x:c r="C113" s="107"/>
      <x:c r="D113" s="107"/>
      <x:c r="E113" s="111"/>
      <x:c r="F113" s="111"/>
      <x:c r="G113" s="109"/>
      <x:c r="H113" s="107"/>
      <x:c r="I113" s="111"/>
      <x:c r="J113" s="107"/>
      <x:c r="K113" t="str">
        <x:f>IF(COUNTA(A113:J113)=0,"",IF(OR(A113="",B113="",D113="",G113="",H113=""),"Complete entry",IF(G113&lt;=0,"Check amount",IF(H113="Cancelled","Cancelled",IF(H113="Cleared",IF(I113="","Enter cash date","Cleared"),IF(H113="Bounced","Follow up bounced",IF(F113="","Enter expected date",IF(F113&lt;'Data &amp; Targets'!$C$10,"Overdue",IF(F113&lt;'Data &amp; Targets'!$C$10+30,"Due next 30 days","Pending")))))))))</x:f>
      </x:c>
    </x:row>
    <x:row r="114" ht="22" customHeight="1">
      <x:c r="A114" s="107"/>
      <x:c r="B114" s="107"/>
      <x:c r="C114" s="107"/>
      <x:c r="D114" s="107"/>
      <x:c r="E114" s="111"/>
      <x:c r="F114" s="111"/>
      <x:c r="G114" s="109"/>
      <x:c r="H114" s="107"/>
      <x:c r="I114" s="111"/>
      <x:c r="J114" s="107"/>
      <x:c r="K114" t="str">
        <x:f>IF(COUNTA(A114:J114)=0,"",IF(OR(A114="",B114="",D114="",G114="",H114=""),"Complete entry",IF(G114&lt;=0,"Check amount",IF(H114="Cancelled","Cancelled",IF(H114="Cleared",IF(I114="","Enter cash date","Cleared"),IF(H114="Bounced","Follow up bounced",IF(F114="","Enter expected date",IF(F114&lt;'Data &amp; Targets'!$C$10,"Overdue",IF(F114&lt;'Data &amp; Targets'!$C$10+30,"Due next 30 days","Pending")))))))))</x:f>
      </x:c>
    </x:row>
    <x:row r="115" ht="22" customHeight="1">
      <x:c r="A115" s="107"/>
      <x:c r="B115" s="107"/>
      <x:c r="C115" s="107"/>
      <x:c r="D115" s="107"/>
      <x:c r="E115" s="111"/>
      <x:c r="F115" s="111"/>
      <x:c r="G115" s="109"/>
      <x:c r="H115" s="107"/>
      <x:c r="I115" s="111"/>
      <x:c r="J115" s="107"/>
      <x:c r="K115" t="str">
        <x:f>IF(COUNTA(A115:J115)=0,"",IF(OR(A115="",B115="",D115="",G115="",H115=""),"Complete entry",IF(G115&lt;=0,"Check amount",IF(H115="Cancelled","Cancelled",IF(H115="Cleared",IF(I115="","Enter cash date","Cleared"),IF(H115="Bounced","Follow up bounced",IF(F115="","Enter expected date",IF(F115&lt;'Data &amp; Targets'!$C$10,"Overdue",IF(F115&lt;'Data &amp; Targets'!$C$10+30,"Due next 30 days","Pending")))))))))</x:f>
      </x:c>
    </x:row>
    <x:row r="116" ht="22" customHeight="1">
      <x:c r="A116" s="107"/>
      <x:c r="B116" s="107"/>
      <x:c r="C116" s="107"/>
      <x:c r="D116" s="107"/>
      <x:c r="E116" s="111"/>
      <x:c r="F116" s="111"/>
      <x:c r="G116" s="109"/>
      <x:c r="H116" s="107"/>
      <x:c r="I116" s="111"/>
      <x:c r="J116" s="107"/>
      <x:c r="K116" t="str">
        <x:f>IF(COUNTA(A116:J116)=0,"",IF(OR(A116="",B116="",D116="",G116="",H116=""),"Complete entry",IF(G116&lt;=0,"Check amount",IF(H116="Cancelled","Cancelled",IF(H116="Cleared",IF(I116="","Enter cash date","Cleared"),IF(H116="Bounced","Follow up bounced",IF(F116="","Enter expected date",IF(F116&lt;'Data &amp; Targets'!$C$10,"Overdue",IF(F116&lt;'Data &amp; Targets'!$C$10+30,"Due next 30 days","Pending")))))))))</x:f>
      </x:c>
    </x:row>
    <x:row r="117" ht="22" customHeight="1">
      <x:c r="A117" s="107"/>
      <x:c r="B117" s="107"/>
      <x:c r="C117" s="107"/>
      <x:c r="D117" s="107"/>
      <x:c r="E117" s="111"/>
      <x:c r="F117" s="111"/>
      <x:c r="G117" s="109"/>
      <x:c r="H117" s="107"/>
      <x:c r="I117" s="111"/>
      <x:c r="J117" s="107"/>
      <x:c r="K117" t="str">
        <x:f>IF(COUNTA(A117:J117)=0,"",IF(OR(A117="",B117="",D117="",G117="",H117=""),"Complete entry",IF(G117&lt;=0,"Check amount",IF(H117="Cancelled","Cancelled",IF(H117="Cleared",IF(I117="","Enter cash date","Cleared"),IF(H117="Bounced","Follow up bounced",IF(F117="","Enter expected date",IF(F117&lt;'Data &amp; Targets'!$C$10,"Overdue",IF(F117&lt;'Data &amp; Targets'!$C$10+30,"Due next 30 days","Pending")))))))))</x:f>
      </x:c>
    </x:row>
    <x:row r="118" ht="22" customHeight="1">
      <x:c r="A118" s="107"/>
      <x:c r="B118" s="107"/>
      <x:c r="C118" s="107"/>
      <x:c r="D118" s="107"/>
      <x:c r="E118" s="111"/>
      <x:c r="F118" s="111"/>
      <x:c r="G118" s="109"/>
      <x:c r="H118" s="107"/>
      <x:c r="I118" s="111"/>
      <x:c r="J118" s="107"/>
      <x:c r="K118" t="str">
        <x:f>IF(COUNTA(A118:J118)=0,"",IF(OR(A118="",B118="",D118="",G118="",H118=""),"Complete entry",IF(G118&lt;=0,"Check amount",IF(H118="Cancelled","Cancelled",IF(H118="Cleared",IF(I118="","Enter cash date","Cleared"),IF(H118="Bounced","Follow up bounced",IF(F118="","Enter expected date",IF(F118&lt;'Data &amp; Targets'!$C$10,"Overdue",IF(F118&lt;'Data &amp; Targets'!$C$10+30,"Due next 30 days","Pending")))))))))</x:f>
      </x:c>
    </x:row>
    <x:row r="119" ht="22" customHeight="1">
      <x:c r="A119" s="107"/>
      <x:c r="B119" s="107"/>
      <x:c r="C119" s="107"/>
      <x:c r="D119" s="107"/>
      <x:c r="E119" s="111"/>
      <x:c r="F119" s="111"/>
      <x:c r="G119" s="109"/>
      <x:c r="H119" s="107"/>
      <x:c r="I119" s="111"/>
      <x:c r="J119" s="107"/>
      <x:c r="K119" t="str">
        <x:f>IF(COUNTA(A119:J119)=0,"",IF(OR(A119="",B119="",D119="",G119="",H119=""),"Complete entry",IF(G119&lt;=0,"Check amount",IF(H119="Cancelled","Cancelled",IF(H119="Cleared",IF(I119="","Enter cash date","Cleared"),IF(H119="Bounced","Follow up bounced",IF(F119="","Enter expected date",IF(F119&lt;'Data &amp; Targets'!$C$10,"Overdue",IF(F119&lt;'Data &amp; Targets'!$C$10+30,"Due next 30 days","Pending")))))))))</x:f>
      </x:c>
    </x:row>
    <x:row r="120" ht="22" customHeight="1">
      <x:c r="A120" s="107"/>
      <x:c r="B120" s="107"/>
      <x:c r="C120" s="107"/>
      <x:c r="D120" s="107"/>
      <x:c r="E120" s="111"/>
      <x:c r="F120" s="111"/>
      <x:c r="G120" s="109"/>
      <x:c r="H120" s="107"/>
      <x:c r="I120" s="111"/>
      <x:c r="J120" s="107"/>
      <x:c r="K120" t="str">
        <x:f>IF(COUNTA(A120:J120)=0,"",IF(OR(A120="",B120="",D120="",G120="",H120=""),"Complete entry",IF(G120&lt;=0,"Check amount",IF(H120="Cancelled","Cancelled",IF(H120="Cleared",IF(I120="","Enter cash date","Cleared"),IF(H120="Bounced","Follow up bounced",IF(F120="","Enter expected date",IF(F120&lt;'Data &amp; Targets'!$C$10,"Overdue",IF(F120&lt;'Data &amp; Targets'!$C$10+30,"Due next 30 days","Pending")))))))))</x:f>
      </x:c>
    </x:row>
    <x:row r="121" ht="22" customHeight="1">
      <x:c r="A121" s="107"/>
      <x:c r="B121" s="107"/>
      <x:c r="C121" s="107"/>
      <x:c r="D121" s="107"/>
      <x:c r="E121" s="111"/>
      <x:c r="F121" s="111"/>
      <x:c r="G121" s="109"/>
      <x:c r="H121" s="107"/>
      <x:c r="I121" s="111"/>
      <x:c r="J121" s="107"/>
      <x:c r="K121" t="str">
        <x:f>IF(COUNTA(A121:J121)=0,"",IF(OR(A121="",B121="",D121="",G121="",H121=""),"Complete entry",IF(G121&lt;=0,"Check amount",IF(H121="Cancelled","Cancelled",IF(H121="Cleared",IF(I121="","Enter cash date","Cleared"),IF(H121="Bounced","Follow up bounced",IF(F121="","Enter expected date",IF(F121&lt;'Data &amp; Targets'!$C$10,"Overdue",IF(F121&lt;'Data &amp; Targets'!$C$10+30,"Due next 30 days","Pending")))))))))</x:f>
      </x:c>
    </x:row>
    <x:row r="122" ht="22" customHeight="1">
      <x:c r="A122" s="107"/>
      <x:c r="B122" s="107"/>
      <x:c r="C122" s="107"/>
      <x:c r="D122" s="107"/>
      <x:c r="E122" s="111"/>
      <x:c r="F122" s="111"/>
      <x:c r="G122" s="109"/>
      <x:c r="H122" s="107"/>
      <x:c r="I122" s="111"/>
      <x:c r="J122" s="107"/>
      <x:c r="K122" t="str">
        <x:f>IF(COUNTA(A122:J122)=0,"",IF(OR(A122="",B122="",D122="",G122="",H122=""),"Complete entry",IF(G122&lt;=0,"Check amount",IF(H122="Cancelled","Cancelled",IF(H122="Cleared",IF(I122="","Enter cash date","Cleared"),IF(H122="Bounced","Follow up bounced",IF(F122="","Enter expected date",IF(F122&lt;'Data &amp; Targets'!$C$10,"Overdue",IF(F122&lt;'Data &amp; Targets'!$C$10+30,"Due next 30 days","Pending")))))))))</x:f>
      </x:c>
    </x:row>
    <x:row r="123" ht="22" customHeight="1">
      <x:c r="A123" s="107"/>
      <x:c r="B123" s="107"/>
      <x:c r="C123" s="107"/>
      <x:c r="D123" s="107"/>
      <x:c r="E123" s="111"/>
      <x:c r="F123" s="111"/>
      <x:c r="G123" s="109"/>
      <x:c r="H123" s="107"/>
      <x:c r="I123" s="111"/>
      <x:c r="J123" s="107"/>
      <x:c r="K123" t="str">
        <x:f>IF(COUNTA(A123:J123)=0,"",IF(OR(A123="",B123="",D123="",G123="",H123=""),"Complete entry",IF(G123&lt;=0,"Check amount",IF(H123="Cancelled","Cancelled",IF(H123="Cleared",IF(I123="","Enter cash date","Cleared"),IF(H123="Bounced","Follow up bounced",IF(F123="","Enter expected date",IF(F123&lt;'Data &amp; Targets'!$C$10,"Overdue",IF(F123&lt;'Data &amp; Targets'!$C$10+30,"Due next 30 days","Pending")))))))))</x:f>
      </x:c>
    </x:row>
    <x:row r="124" ht="22" customHeight="1">
      <x:c r="A124" s="107"/>
      <x:c r="B124" s="107"/>
      <x:c r="C124" s="107"/>
      <x:c r="D124" s="107"/>
      <x:c r="E124" s="111"/>
      <x:c r="F124" s="111"/>
      <x:c r="G124" s="109"/>
      <x:c r="H124" s="107"/>
      <x:c r="I124" s="111"/>
      <x:c r="J124" s="107"/>
      <x:c r="K124" t="str">
        <x:f>IF(COUNTA(A124:J124)=0,"",IF(OR(A124="",B124="",D124="",G124="",H124=""),"Complete entry",IF(G124&lt;=0,"Check amount",IF(H124="Cancelled","Cancelled",IF(H124="Cleared",IF(I124="","Enter cash date","Cleared"),IF(H124="Bounced","Follow up bounced",IF(F124="","Enter expected date",IF(F124&lt;'Data &amp; Targets'!$C$10,"Overdue",IF(F124&lt;'Data &amp; Targets'!$C$10+30,"Due next 30 days","Pending")))))))))</x:f>
      </x:c>
    </x:row>
    <x:row r="125" ht="22" customHeight="1">
      <x:c r="A125" s="107"/>
      <x:c r="B125" s="107"/>
      <x:c r="C125" s="107"/>
      <x:c r="D125" s="107"/>
      <x:c r="E125" s="111"/>
      <x:c r="F125" s="111"/>
      <x:c r="G125" s="109"/>
      <x:c r="H125" s="107"/>
      <x:c r="I125" s="111"/>
      <x:c r="J125" s="107"/>
      <x:c r="K125" t="str">
        <x:f>IF(COUNTA(A125:J125)=0,"",IF(OR(A125="",B125="",D125="",G125="",H125=""),"Complete entry",IF(G125&lt;=0,"Check amount",IF(H125="Cancelled","Cancelled",IF(H125="Cleared",IF(I125="","Enter cash date","Cleared"),IF(H125="Bounced","Follow up bounced",IF(F125="","Enter expected date",IF(F125&lt;'Data &amp; Targets'!$C$10,"Overdue",IF(F125&lt;'Data &amp; Targets'!$C$10+30,"Due next 30 days","Pending")))))))))</x:f>
      </x:c>
    </x:row>
    <x:row r="126" ht="22" customHeight="1">
      <x:c r="A126" s="107"/>
      <x:c r="B126" s="107"/>
      <x:c r="C126" s="107"/>
      <x:c r="D126" s="107"/>
      <x:c r="E126" s="111"/>
      <x:c r="F126" s="111"/>
      <x:c r="G126" s="109"/>
      <x:c r="H126" s="107"/>
      <x:c r="I126" s="111"/>
      <x:c r="J126" s="107"/>
      <x:c r="K126" t="str">
        <x:f>IF(COUNTA(A126:J126)=0,"",IF(OR(A126="",B126="",D126="",G126="",H126=""),"Complete entry",IF(G126&lt;=0,"Check amount",IF(H126="Cancelled","Cancelled",IF(H126="Cleared",IF(I126="","Enter cash date","Cleared"),IF(H126="Bounced","Follow up bounced",IF(F126="","Enter expected date",IF(F126&lt;'Data &amp; Targets'!$C$10,"Overdue",IF(F126&lt;'Data &amp; Targets'!$C$10+30,"Due next 30 days","Pending")))))))))</x:f>
      </x:c>
    </x:row>
    <x:row r="127" ht="22" customHeight="1">
      <x:c r="A127" s="107"/>
      <x:c r="B127" s="107"/>
      <x:c r="C127" s="107"/>
      <x:c r="D127" s="107"/>
      <x:c r="E127" s="111"/>
      <x:c r="F127" s="111"/>
      <x:c r="G127" s="109"/>
      <x:c r="H127" s="107"/>
      <x:c r="I127" s="111"/>
      <x:c r="J127" s="107"/>
      <x:c r="K127" t="str">
        <x:f>IF(COUNTA(A127:J127)=0,"",IF(OR(A127="",B127="",D127="",G127="",H127=""),"Complete entry",IF(G127&lt;=0,"Check amount",IF(H127="Cancelled","Cancelled",IF(H127="Cleared",IF(I127="","Enter cash date","Cleared"),IF(H127="Bounced","Follow up bounced",IF(F127="","Enter expected date",IF(F127&lt;'Data &amp; Targets'!$C$10,"Overdue",IF(F127&lt;'Data &amp; Targets'!$C$10+30,"Due next 30 days","Pending")))))))))</x:f>
      </x:c>
    </x:row>
    <x:row r="128" ht="22" customHeight="1">
      <x:c r="A128" s="107"/>
      <x:c r="B128" s="107"/>
      <x:c r="C128" s="107"/>
      <x:c r="D128" s="107"/>
      <x:c r="E128" s="111"/>
      <x:c r="F128" s="111"/>
      <x:c r="G128" s="109"/>
      <x:c r="H128" s="107"/>
      <x:c r="I128" s="111"/>
      <x:c r="J128" s="107"/>
      <x:c r="K128" t="str">
        <x:f>IF(COUNTA(A128:J128)=0,"",IF(OR(A128="",B128="",D128="",G128="",H128=""),"Complete entry",IF(G128&lt;=0,"Check amount",IF(H128="Cancelled","Cancelled",IF(H128="Cleared",IF(I128="","Enter cash date","Cleared"),IF(H128="Bounced","Follow up bounced",IF(F128="","Enter expected date",IF(F128&lt;'Data &amp; Targets'!$C$10,"Overdue",IF(F128&lt;'Data &amp; Targets'!$C$10+30,"Due next 30 days","Pending")))))))))</x:f>
      </x:c>
    </x:row>
    <x:row r="129" ht="22" customHeight="1">
      <x:c r="A129" s="107"/>
      <x:c r="B129" s="107"/>
      <x:c r="C129" s="107"/>
      <x:c r="D129" s="107"/>
      <x:c r="E129" s="111"/>
      <x:c r="F129" s="111"/>
      <x:c r="G129" s="109"/>
      <x:c r="H129" s="107"/>
      <x:c r="I129" s="111"/>
      <x:c r="J129" s="107"/>
      <x:c r="K129" t="str">
        <x:f>IF(COUNTA(A129:J129)=0,"",IF(OR(A129="",B129="",D129="",G129="",H129=""),"Complete entry",IF(G129&lt;=0,"Check amount",IF(H129="Cancelled","Cancelled",IF(H129="Cleared",IF(I129="","Enter cash date","Cleared"),IF(H129="Bounced","Follow up bounced",IF(F129="","Enter expected date",IF(F129&lt;'Data &amp; Targets'!$C$10,"Overdue",IF(F129&lt;'Data &amp; Targets'!$C$10+30,"Due next 30 days","Pending")))))))))</x:f>
      </x:c>
    </x:row>
    <x:row r="130" ht="22" customHeight="1">
      <x:c r="A130" s="107"/>
      <x:c r="B130" s="107"/>
      <x:c r="C130" s="107"/>
      <x:c r="D130" s="107"/>
      <x:c r="E130" s="111"/>
      <x:c r="F130" s="111"/>
      <x:c r="G130" s="109"/>
      <x:c r="H130" s="107"/>
      <x:c r="I130" s="111"/>
      <x:c r="J130" s="107"/>
      <x:c r="K130" t="str">
        <x:f>IF(COUNTA(A130:J130)=0,"",IF(OR(A130="",B130="",D130="",G130="",H130=""),"Complete entry",IF(G130&lt;=0,"Check amount",IF(H130="Cancelled","Cancelled",IF(H130="Cleared",IF(I130="","Enter cash date","Cleared"),IF(H130="Bounced","Follow up bounced",IF(F130="","Enter expected date",IF(F130&lt;'Data &amp; Targets'!$C$10,"Overdue",IF(F130&lt;'Data &amp; Targets'!$C$10+30,"Due next 30 days","Pending")))))))))</x:f>
      </x:c>
    </x:row>
    <x:row r="131" ht="22" customHeight="1">
      <x:c r="A131" s="107"/>
      <x:c r="B131" s="107"/>
      <x:c r="C131" s="107"/>
      <x:c r="D131" s="107"/>
      <x:c r="E131" s="111"/>
      <x:c r="F131" s="111"/>
      <x:c r="G131" s="109"/>
      <x:c r="H131" s="107"/>
      <x:c r="I131" s="111"/>
      <x:c r="J131" s="107"/>
      <x:c r="K131" t="str">
        <x:f>IF(COUNTA(A131:J131)=0,"",IF(OR(A131="",B131="",D131="",G131="",H131=""),"Complete entry",IF(G131&lt;=0,"Check amount",IF(H131="Cancelled","Cancelled",IF(H131="Cleared",IF(I131="","Enter cash date","Cleared"),IF(H131="Bounced","Follow up bounced",IF(F131="","Enter expected date",IF(F131&lt;'Data &amp; Targets'!$C$10,"Overdue",IF(F131&lt;'Data &amp; Targets'!$C$10+30,"Due next 30 days","Pending")))))))))</x:f>
      </x:c>
    </x:row>
    <x:row r="132" ht="22" customHeight="1">
      <x:c r="A132" s="107"/>
      <x:c r="B132" s="107"/>
      <x:c r="C132" s="107"/>
      <x:c r="D132" s="107"/>
      <x:c r="E132" s="111"/>
      <x:c r="F132" s="111"/>
      <x:c r="G132" s="109"/>
      <x:c r="H132" s="107"/>
      <x:c r="I132" s="111"/>
      <x:c r="J132" s="107"/>
      <x:c r="K132" t="str">
        <x:f>IF(COUNTA(A132:J132)=0,"",IF(OR(A132="",B132="",D132="",G132="",H132=""),"Complete entry",IF(G132&lt;=0,"Check amount",IF(H132="Cancelled","Cancelled",IF(H132="Cleared",IF(I132="","Enter cash date","Cleared"),IF(H132="Bounced","Follow up bounced",IF(F132="","Enter expected date",IF(F132&lt;'Data &amp; Targets'!$C$10,"Overdue",IF(F132&lt;'Data &amp; Targets'!$C$10+30,"Due next 30 days","Pending")))))))))</x:f>
      </x:c>
    </x:row>
    <x:row r="133" ht="22" customHeight="1">
      <x:c r="A133" s="107"/>
      <x:c r="B133" s="107"/>
      <x:c r="C133" s="107"/>
      <x:c r="D133" s="107"/>
      <x:c r="E133" s="111"/>
      <x:c r="F133" s="111"/>
      <x:c r="G133" s="109"/>
      <x:c r="H133" s="107"/>
      <x:c r="I133" s="111"/>
      <x:c r="J133" s="107"/>
      <x:c r="K133" t="str">
        <x:f>IF(COUNTA(A133:J133)=0,"",IF(OR(A133="",B133="",D133="",G133="",H133=""),"Complete entry",IF(G133&lt;=0,"Check amount",IF(H133="Cancelled","Cancelled",IF(H133="Cleared",IF(I133="","Enter cash date","Cleared"),IF(H133="Bounced","Follow up bounced",IF(F133="","Enter expected date",IF(F133&lt;'Data &amp; Targets'!$C$10,"Overdue",IF(F133&lt;'Data &amp; Targets'!$C$10+30,"Due next 30 days","Pending")))))))))</x:f>
      </x:c>
    </x:row>
    <x:row r="134" ht="22" customHeight="1">
      <x:c r="A134" s="107"/>
      <x:c r="B134" s="107"/>
      <x:c r="C134" s="107"/>
      <x:c r="D134" s="107"/>
      <x:c r="E134" s="111"/>
      <x:c r="F134" s="111"/>
      <x:c r="G134" s="109"/>
      <x:c r="H134" s="107"/>
      <x:c r="I134" s="111"/>
      <x:c r="J134" s="107"/>
      <x:c r="K134" t="str">
        <x:f>IF(COUNTA(A134:J134)=0,"",IF(OR(A134="",B134="",D134="",G134="",H134=""),"Complete entry",IF(G134&lt;=0,"Check amount",IF(H134="Cancelled","Cancelled",IF(H134="Cleared",IF(I134="","Enter cash date","Cleared"),IF(H134="Bounced","Follow up bounced",IF(F134="","Enter expected date",IF(F134&lt;'Data &amp; Targets'!$C$10,"Overdue",IF(F134&lt;'Data &amp; Targets'!$C$10+30,"Due next 30 days","Pending")))))))))</x:f>
      </x:c>
    </x:row>
    <x:row r="135" ht="22" customHeight="1">
      <x:c r="A135" s="107"/>
      <x:c r="B135" s="107"/>
      <x:c r="C135" s="107"/>
      <x:c r="D135" s="107"/>
      <x:c r="E135" s="111"/>
      <x:c r="F135" s="111"/>
      <x:c r="G135" s="109"/>
      <x:c r="H135" s="107"/>
      <x:c r="I135" s="111"/>
      <x:c r="J135" s="107"/>
      <x:c r="K135" t="str">
        <x:f>IF(COUNTA(A135:J135)=0,"",IF(OR(A135="",B135="",D135="",G135="",H135=""),"Complete entry",IF(G135&lt;=0,"Check amount",IF(H135="Cancelled","Cancelled",IF(H135="Cleared",IF(I135="","Enter cash date","Cleared"),IF(H135="Bounced","Follow up bounced",IF(F135="","Enter expected date",IF(F135&lt;'Data &amp; Targets'!$C$10,"Overdue",IF(F135&lt;'Data &amp; Targets'!$C$10+30,"Due next 30 days","Pending")))))))))</x:f>
      </x:c>
    </x:row>
    <x:row r="136" ht="22" customHeight="1">
      <x:c r="A136" s="107"/>
      <x:c r="B136" s="107"/>
      <x:c r="C136" s="107"/>
      <x:c r="D136" s="107"/>
      <x:c r="E136" s="111"/>
      <x:c r="F136" s="111"/>
      <x:c r="G136" s="109"/>
      <x:c r="H136" s="107"/>
      <x:c r="I136" s="111"/>
      <x:c r="J136" s="107"/>
      <x:c r="K136" t="str">
        <x:f>IF(COUNTA(A136:J136)=0,"",IF(OR(A136="",B136="",D136="",G136="",H136=""),"Complete entry",IF(G136&lt;=0,"Check amount",IF(H136="Cancelled","Cancelled",IF(H136="Cleared",IF(I136="","Enter cash date","Cleared"),IF(H136="Bounced","Follow up bounced",IF(F136="","Enter expected date",IF(F136&lt;'Data &amp; Targets'!$C$10,"Overdue",IF(F136&lt;'Data &amp; Targets'!$C$10+30,"Due next 30 days","Pending")))))))))</x:f>
      </x:c>
    </x:row>
    <x:row r="137" ht="22" customHeight="1">
      <x:c r="A137" s="107"/>
      <x:c r="B137" s="107"/>
      <x:c r="C137" s="107"/>
      <x:c r="D137" s="107"/>
      <x:c r="E137" s="111"/>
      <x:c r="F137" s="111"/>
      <x:c r="G137" s="109"/>
      <x:c r="H137" s="107"/>
      <x:c r="I137" s="111"/>
      <x:c r="J137" s="107"/>
      <x:c r="K137" t="str">
        <x:f>IF(COUNTA(A137:J137)=0,"",IF(OR(A137="",B137="",D137="",G137="",H137=""),"Complete entry",IF(G137&lt;=0,"Check amount",IF(H137="Cancelled","Cancelled",IF(H137="Cleared",IF(I137="","Enter cash date","Cleared"),IF(H137="Bounced","Follow up bounced",IF(F137="","Enter expected date",IF(F137&lt;'Data &amp; Targets'!$C$10,"Overdue",IF(F137&lt;'Data &amp; Targets'!$C$10+30,"Due next 30 days","Pending")))))))))</x:f>
      </x:c>
    </x:row>
    <x:row r="138" ht="22" customHeight="1">
      <x:c r="A138" s="107"/>
      <x:c r="B138" s="107"/>
      <x:c r="C138" s="107"/>
      <x:c r="D138" s="107"/>
      <x:c r="E138" s="111"/>
      <x:c r="F138" s="111"/>
      <x:c r="G138" s="109"/>
      <x:c r="H138" s="107"/>
      <x:c r="I138" s="111"/>
      <x:c r="J138" s="107"/>
      <x:c r="K138" t="str">
        <x:f>IF(COUNTA(A138:J138)=0,"",IF(OR(A138="",B138="",D138="",G138="",H138=""),"Complete entry",IF(G138&lt;=0,"Check amount",IF(H138="Cancelled","Cancelled",IF(H138="Cleared",IF(I138="","Enter cash date","Cleared"),IF(H138="Bounced","Follow up bounced",IF(F138="","Enter expected date",IF(F138&lt;'Data &amp; Targets'!$C$10,"Overdue",IF(F138&lt;'Data &amp; Targets'!$C$10+30,"Due next 30 days","Pending")))))))))</x:f>
      </x:c>
    </x:row>
    <x:row r="139" ht="22" customHeight="1">
      <x:c r="A139" s="107"/>
      <x:c r="B139" s="107"/>
      <x:c r="C139" s="107"/>
      <x:c r="D139" s="107"/>
      <x:c r="E139" s="111"/>
      <x:c r="F139" s="111"/>
      <x:c r="G139" s="109"/>
      <x:c r="H139" s="107"/>
      <x:c r="I139" s="111"/>
      <x:c r="J139" s="107"/>
      <x:c r="K139" t="str">
        <x:f>IF(COUNTA(A139:J139)=0,"",IF(OR(A139="",B139="",D139="",G139="",H139=""),"Complete entry",IF(G139&lt;=0,"Check amount",IF(H139="Cancelled","Cancelled",IF(H139="Cleared",IF(I139="","Enter cash date","Cleared"),IF(H139="Bounced","Follow up bounced",IF(F139="","Enter expected date",IF(F139&lt;'Data &amp; Targets'!$C$10,"Overdue",IF(F139&lt;'Data &amp; Targets'!$C$10+30,"Due next 30 days","Pending")))))))))</x:f>
      </x:c>
    </x:row>
    <x:row r="140" ht="22" customHeight="1">
      <x:c r="A140" s="107"/>
      <x:c r="B140" s="107"/>
      <x:c r="C140" s="107"/>
      <x:c r="D140" s="107"/>
      <x:c r="E140" s="111"/>
      <x:c r="F140" s="111"/>
      <x:c r="G140" s="109"/>
      <x:c r="H140" s="107"/>
      <x:c r="I140" s="111"/>
      <x:c r="J140" s="107"/>
      <x:c r="K140" t="str">
        <x:f>IF(COUNTA(A140:J140)=0,"",IF(OR(A140="",B140="",D140="",G140="",H140=""),"Complete entry",IF(G140&lt;=0,"Check amount",IF(H140="Cancelled","Cancelled",IF(H140="Cleared",IF(I140="","Enter cash date","Cleared"),IF(H140="Bounced","Follow up bounced",IF(F140="","Enter expected date",IF(F140&lt;'Data &amp; Targets'!$C$10,"Overdue",IF(F140&lt;'Data &amp; Targets'!$C$10+30,"Due next 30 days","Pending")))))))))</x:f>
      </x:c>
    </x:row>
    <x:row r="141" ht="22" customHeight="1">
      <x:c r="A141" s="107"/>
      <x:c r="B141" s="107"/>
      <x:c r="C141" s="107"/>
      <x:c r="D141" s="107"/>
      <x:c r="E141" s="111"/>
      <x:c r="F141" s="111"/>
      <x:c r="G141" s="109"/>
      <x:c r="H141" s="107"/>
      <x:c r="I141" s="111"/>
      <x:c r="J141" s="107"/>
      <x:c r="K141" t="str">
        <x:f>IF(COUNTA(A141:J141)=0,"",IF(OR(A141="",B141="",D141="",G141="",H141=""),"Complete entry",IF(G141&lt;=0,"Check amount",IF(H141="Cancelled","Cancelled",IF(H141="Cleared",IF(I141="","Enter cash date","Cleared"),IF(H141="Bounced","Follow up bounced",IF(F141="","Enter expected date",IF(F141&lt;'Data &amp; Targets'!$C$10,"Overdue",IF(F141&lt;'Data &amp; Targets'!$C$10+30,"Due next 30 days","Pending")))))))))</x:f>
      </x:c>
    </x:row>
    <x:row r="142" ht="22" customHeight="1">
      <x:c r="A142" s="107"/>
      <x:c r="B142" s="107"/>
      <x:c r="C142" s="107"/>
      <x:c r="D142" s="107"/>
      <x:c r="E142" s="111"/>
      <x:c r="F142" s="111"/>
      <x:c r="G142" s="109"/>
      <x:c r="H142" s="107"/>
      <x:c r="I142" s="111"/>
      <x:c r="J142" s="107"/>
      <x:c r="K142" t="str">
        <x:f>IF(COUNTA(A142:J142)=0,"",IF(OR(A142="",B142="",D142="",G142="",H142=""),"Complete entry",IF(G142&lt;=0,"Check amount",IF(H142="Cancelled","Cancelled",IF(H142="Cleared",IF(I142="","Enter cash date","Cleared"),IF(H142="Bounced","Follow up bounced",IF(F142="","Enter expected date",IF(F142&lt;'Data &amp; Targets'!$C$10,"Overdue",IF(F142&lt;'Data &amp; Targets'!$C$10+30,"Due next 30 days","Pending")))))))))</x:f>
      </x:c>
    </x:row>
    <x:row r="143" ht="22" customHeight="1">
      <x:c r="A143" s="107"/>
      <x:c r="B143" s="107"/>
      <x:c r="C143" s="107"/>
      <x:c r="D143" s="107"/>
      <x:c r="E143" s="111"/>
      <x:c r="F143" s="111"/>
      <x:c r="G143" s="109"/>
      <x:c r="H143" s="107"/>
      <x:c r="I143" s="111"/>
      <x:c r="J143" s="107"/>
      <x:c r="K143" t="str">
        <x:f>IF(COUNTA(A143:J143)=0,"",IF(OR(A143="",B143="",D143="",G143="",H143=""),"Complete entry",IF(G143&lt;=0,"Check amount",IF(H143="Cancelled","Cancelled",IF(H143="Cleared",IF(I143="","Enter cash date","Cleared"),IF(H143="Bounced","Follow up bounced",IF(F143="","Enter expected date",IF(F143&lt;'Data &amp; Targets'!$C$10,"Overdue",IF(F143&lt;'Data &amp; Targets'!$C$10+30,"Due next 30 days","Pending")))))))))</x:f>
      </x:c>
    </x:row>
    <x:row r="144" ht="22" customHeight="1">
      <x:c r="A144" s="107"/>
      <x:c r="B144" s="107"/>
      <x:c r="C144" s="107"/>
      <x:c r="D144" s="107"/>
      <x:c r="E144" s="111"/>
      <x:c r="F144" s="111"/>
      <x:c r="G144" s="109"/>
      <x:c r="H144" s="107"/>
      <x:c r="I144" s="111"/>
      <x:c r="J144" s="107"/>
      <x:c r="K144" t="str">
        <x:f>IF(COUNTA(A144:J144)=0,"",IF(OR(A144="",B144="",D144="",G144="",H144=""),"Complete entry",IF(G144&lt;=0,"Check amount",IF(H144="Cancelled","Cancelled",IF(H144="Cleared",IF(I144="","Enter cash date","Cleared"),IF(H144="Bounced","Follow up bounced",IF(F144="","Enter expected date",IF(F144&lt;'Data &amp; Targets'!$C$10,"Overdue",IF(F144&lt;'Data &amp; Targets'!$C$10+30,"Due next 30 days","Pending")))))))))</x:f>
      </x:c>
    </x:row>
    <x:row r="145" ht="22" customHeight="1">
      <x:c r="A145" s="107"/>
      <x:c r="B145" s="107"/>
      <x:c r="C145" s="107"/>
      <x:c r="D145" s="107"/>
      <x:c r="E145" s="111"/>
      <x:c r="F145" s="111"/>
      <x:c r="G145" s="109"/>
      <x:c r="H145" s="107"/>
      <x:c r="I145" s="111"/>
      <x:c r="J145" s="107"/>
      <x:c r="K145" t="str">
        <x:f>IF(COUNTA(A145:J145)=0,"",IF(OR(A145="",B145="",D145="",G145="",H145=""),"Complete entry",IF(G145&lt;=0,"Check amount",IF(H145="Cancelled","Cancelled",IF(H145="Cleared",IF(I145="","Enter cash date","Cleared"),IF(H145="Bounced","Follow up bounced",IF(F145="","Enter expected date",IF(F145&lt;'Data &amp; Targets'!$C$10,"Overdue",IF(F145&lt;'Data &amp; Targets'!$C$10+30,"Due next 30 days","Pending")))))))))</x:f>
      </x:c>
    </x:row>
    <x:row r="146" ht="22" customHeight="1">
      <x:c r="A146" s="107"/>
      <x:c r="B146" s="107"/>
      <x:c r="C146" s="107"/>
      <x:c r="D146" s="107"/>
      <x:c r="E146" s="111"/>
      <x:c r="F146" s="111"/>
      <x:c r="G146" s="109"/>
      <x:c r="H146" s="107"/>
      <x:c r="I146" s="111"/>
      <x:c r="J146" s="107"/>
      <x:c r="K146" t="str">
        <x:f>IF(COUNTA(A146:J146)=0,"",IF(OR(A146="",B146="",D146="",G146="",H146=""),"Complete entry",IF(G146&lt;=0,"Check amount",IF(H146="Cancelled","Cancelled",IF(H146="Cleared",IF(I146="","Enter cash date","Cleared"),IF(H146="Bounced","Follow up bounced",IF(F146="","Enter expected date",IF(F146&lt;'Data &amp; Targets'!$C$10,"Overdue",IF(F146&lt;'Data &amp; Targets'!$C$10+30,"Due next 30 days","Pending")))))))))</x:f>
      </x:c>
    </x:row>
    <x:row r="147" ht="22" customHeight="1">
      <x:c r="A147" s="107"/>
      <x:c r="B147" s="107"/>
      <x:c r="C147" s="107"/>
      <x:c r="D147" s="107"/>
      <x:c r="E147" s="111"/>
      <x:c r="F147" s="111"/>
      <x:c r="G147" s="109"/>
      <x:c r="H147" s="107"/>
      <x:c r="I147" s="111"/>
      <x:c r="J147" s="107"/>
      <x:c r="K147" t="str">
        <x:f>IF(COUNTA(A147:J147)=0,"",IF(OR(A147="",B147="",D147="",G147="",H147=""),"Complete entry",IF(G147&lt;=0,"Check amount",IF(H147="Cancelled","Cancelled",IF(H147="Cleared",IF(I147="","Enter cash date","Cleared"),IF(H147="Bounced","Follow up bounced",IF(F147="","Enter expected date",IF(F147&lt;'Data &amp; Targets'!$C$10,"Overdue",IF(F147&lt;'Data &amp; Targets'!$C$10+30,"Due next 30 days","Pending")))))))))</x:f>
      </x:c>
    </x:row>
    <x:row r="148" ht="22" customHeight="1">
      <x:c r="A148" s="107"/>
      <x:c r="B148" s="107"/>
      <x:c r="C148" s="107"/>
      <x:c r="D148" s="107"/>
      <x:c r="E148" s="111"/>
      <x:c r="F148" s="111"/>
      <x:c r="G148" s="109"/>
      <x:c r="H148" s="107"/>
      <x:c r="I148" s="111"/>
      <x:c r="J148" s="107"/>
      <x:c r="K148" t="str">
        <x:f>IF(COUNTA(A148:J148)=0,"",IF(OR(A148="",B148="",D148="",G148="",H148=""),"Complete entry",IF(G148&lt;=0,"Check amount",IF(H148="Cancelled","Cancelled",IF(H148="Cleared",IF(I148="","Enter cash date","Cleared"),IF(H148="Bounced","Follow up bounced",IF(F148="","Enter expected date",IF(F148&lt;'Data &amp; Targets'!$C$10,"Overdue",IF(F148&lt;'Data &amp; Targets'!$C$10+30,"Due next 30 days","Pending")))))))))</x:f>
      </x:c>
    </x:row>
    <x:row r="149" ht="22" customHeight="1">
      <x:c r="A149" s="107"/>
      <x:c r="B149" s="107"/>
      <x:c r="C149" s="107"/>
      <x:c r="D149" s="107"/>
      <x:c r="E149" s="111"/>
      <x:c r="F149" s="111"/>
      <x:c r="G149" s="109"/>
      <x:c r="H149" s="107"/>
      <x:c r="I149" s="111"/>
      <x:c r="J149" s="107"/>
      <x:c r="K149" t="str">
        <x:f>IF(COUNTA(A149:J149)=0,"",IF(OR(A149="",B149="",D149="",G149="",H149=""),"Complete entry",IF(G149&lt;=0,"Check amount",IF(H149="Cancelled","Cancelled",IF(H149="Cleared",IF(I149="","Enter cash date","Cleared"),IF(H149="Bounced","Follow up bounced",IF(F149="","Enter expected date",IF(F149&lt;'Data &amp; Targets'!$C$10,"Overdue",IF(F149&lt;'Data &amp; Targets'!$C$10+30,"Due next 30 days","Pending")))))))))</x:f>
      </x:c>
    </x:row>
    <x:row r="150" ht="22" customHeight="1">
      <x:c r="A150" s="107"/>
      <x:c r="B150" s="107"/>
      <x:c r="C150" s="107"/>
      <x:c r="D150" s="107"/>
      <x:c r="E150" s="111"/>
      <x:c r="F150" s="111"/>
      <x:c r="G150" s="109"/>
      <x:c r="H150" s="107"/>
      <x:c r="I150" s="111"/>
      <x:c r="J150" s="107"/>
      <x:c r="K150" t="str">
        <x:f>IF(COUNTA(A150:J150)=0,"",IF(OR(A150="",B150="",D150="",G150="",H150=""),"Complete entry",IF(G150&lt;=0,"Check amount",IF(H150="Cancelled","Cancelled",IF(H150="Cleared",IF(I150="","Enter cash date","Cleared"),IF(H150="Bounced","Follow up bounced",IF(F150="","Enter expected date",IF(F150&lt;'Data &amp; Targets'!$C$10,"Overdue",IF(F150&lt;'Data &amp; Targets'!$C$10+30,"Due next 30 days","Pending")))))))))</x:f>
      </x:c>
    </x:row>
    <x:row r="151" ht="22" customHeight="1">
      <x:c r="A151" s="107"/>
      <x:c r="B151" s="107"/>
      <x:c r="C151" s="107"/>
      <x:c r="D151" s="107"/>
      <x:c r="E151" s="111"/>
      <x:c r="F151" s="111"/>
      <x:c r="G151" s="109"/>
      <x:c r="H151" s="107"/>
      <x:c r="I151" s="111"/>
      <x:c r="J151" s="107"/>
      <x:c r="K151" t="str">
        <x:f>IF(COUNTA(A151:J151)=0,"",IF(OR(A151="",B151="",D151="",G151="",H151=""),"Complete entry",IF(G151&lt;=0,"Check amount",IF(H151="Cancelled","Cancelled",IF(H151="Cleared",IF(I151="","Enter cash date","Cleared"),IF(H151="Bounced","Follow up bounced",IF(F151="","Enter expected date",IF(F151&lt;'Data &amp; Targets'!$C$10,"Overdue",IF(F151&lt;'Data &amp; Targets'!$C$10+30,"Due next 30 days","Pending")))))))))</x:f>
      </x:c>
    </x:row>
    <x:row r="152" ht="22" customHeight="1">
      <x:c r="A152" s="107"/>
      <x:c r="B152" s="107"/>
      <x:c r="C152" s="107"/>
      <x:c r="D152" s="107"/>
      <x:c r="E152" s="111"/>
      <x:c r="F152" s="111"/>
      <x:c r="G152" s="109"/>
      <x:c r="H152" s="107"/>
      <x:c r="I152" s="111"/>
      <x:c r="J152" s="107"/>
      <x:c r="K152" t="str">
        <x:f>IF(COUNTA(A152:J152)=0,"",IF(OR(A152="",B152="",D152="",G152="",H152=""),"Complete entry",IF(G152&lt;=0,"Check amount",IF(H152="Cancelled","Cancelled",IF(H152="Cleared",IF(I152="","Enter cash date","Cleared"),IF(H152="Bounced","Follow up bounced",IF(F152="","Enter expected date",IF(F152&lt;'Data &amp; Targets'!$C$10,"Overdue",IF(F152&lt;'Data &amp; Targets'!$C$10+30,"Due next 30 days","Pending")))))))))</x:f>
      </x:c>
    </x:row>
    <x:row r="153" ht="22" customHeight="1">
      <x:c r="A153" s="107"/>
      <x:c r="B153" s="107"/>
      <x:c r="C153" s="107"/>
      <x:c r="D153" s="107"/>
      <x:c r="E153" s="111"/>
      <x:c r="F153" s="111"/>
      <x:c r="G153" s="109"/>
      <x:c r="H153" s="107"/>
      <x:c r="I153" s="111"/>
      <x:c r="J153" s="107"/>
      <x:c r="K153" t="str">
        <x:f>IF(COUNTA(A153:J153)=0,"",IF(OR(A153="",B153="",D153="",G153="",H153=""),"Complete entry",IF(G153&lt;=0,"Check amount",IF(H153="Cancelled","Cancelled",IF(H153="Cleared",IF(I153="","Enter cash date","Cleared"),IF(H153="Bounced","Follow up bounced",IF(F153="","Enter expected date",IF(F153&lt;'Data &amp; Targets'!$C$10,"Overdue",IF(F153&lt;'Data &amp; Targets'!$C$10+30,"Due next 30 days","Pending")))))))))</x:f>
      </x:c>
    </x:row>
    <x:row r="154" ht="22" customHeight="1">
      <x:c r="A154" s="107"/>
      <x:c r="B154" s="107"/>
      <x:c r="C154" s="107"/>
      <x:c r="D154" s="107"/>
      <x:c r="E154" s="111"/>
      <x:c r="F154" s="111"/>
      <x:c r="G154" s="109"/>
      <x:c r="H154" s="107"/>
      <x:c r="I154" s="111"/>
      <x:c r="J154" s="107"/>
      <x:c r="K154" t="str">
        <x:f>IF(COUNTA(A154:J154)=0,"",IF(OR(A154="",B154="",D154="",G154="",H154=""),"Complete entry",IF(G154&lt;=0,"Check amount",IF(H154="Cancelled","Cancelled",IF(H154="Cleared",IF(I154="","Enter cash date","Cleared"),IF(H154="Bounced","Follow up bounced",IF(F154="","Enter expected date",IF(F154&lt;'Data &amp; Targets'!$C$10,"Overdue",IF(F154&lt;'Data &amp; Targets'!$C$10+30,"Due next 30 days","Pending")))))))))</x:f>
      </x:c>
    </x:row>
    <x:row r="155" ht="22" customHeight="1">
      <x:c r="A155" s="107"/>
      <x:c r="B155" s="107"/>
      <x:c r="C155" s="107"/>
      <x:c r="D155" s="107"/>
      <x:c r="E155" s="111"/>
      <x:c r="F155" s="111"/>
      <x:c r="G155" s="109"/>
      <x:c r="H155" s="107"/>
      <x:c r="I155" s="111"/>
      <x:c r="J155" s="107"/>
      <x:c r="K155" t="str">
        <x:f>IF(COUNTA(A155:J155)=0,"",IF(OR(A155="",B155="",D155="",G155="",H155=""),"Complete entry",IF(G155&lt;=0,"Check amount",IF(H155="Cancelled","Cancelled",IF(H155="Cleared",IF(I155="","Enter cash date","Cleared"),IF(H155="Bounced","Follow up bounced",IF(F155="","Enter expected date",IF(F155&lt;'Data &amp; Targets'!$C$10,"Overdue",IF(F155&lt;'Data &amp; Targets'!$C$10+30,"Due next 30 days","Pending")))))))))</x:f>
      </x:c>
    </x:row>
    <x:row r="156" ht="22" customHeight="1">
      <x:c r="A156" s="107"/>
      <x:c r="B156" s="107"/>
      <x:c r="C156" s="107"/>
      <x:c r="D156" s="107"/>
      <x:c r="E156" s="111"/>
      <x:c r="F156" s="111"/>
      <x:c r="G156" s="109"/>
      <x:c r="H156" s="107"/>
      <x:c r="I156" s="111"/>
      <x:c r="J156" s="107"/>
      <x:c r="K156" t="str">
        <x:f>IF(COUNTA(A156:J156)=0,"",IF(OR(A156="",B156="",D156="",G156="",H156=""),"Complete entry",IF(G156&lt;=0,"Check amount",IF(H156="Cancelled","Cancelled",IF(H156="Cleared",IF(I156="","Enter cash date","Cleared"),IF(H156="Bounced","Follow up bounced",IF(F156="","Enter expected date",IF(F156&lt;'Data &amp; Targets'!$C$10,"Overdue",IF(F156&lt;'Data &amp; Targets'!$C$10+30,"Due next 30 days","Pending")))))))))</x:f>
      </x:c>
    </x:row>
    <x:row r="157" ht="22" customHeight="1">
      <x:c r="A157" s="107"/>
      <x:c r="B157" s="107"/>
      <x:c r="C157" s="107"/>
      <x:c r="D157" s="107"/>
      <x:c r="E157" s="111"/>
      <x:c r="F157" s="111"/>
      <x:c r="G157" s="109"/>
      <x:c r="H157" s="107"/>
      <x:c r="I157" s="111"/>
      <x:c r="J157" s="107"/>
      <x:c r="K157" t="str">
        <x:f>IF(COUNTA(A157:J157)=0,"",IF(OR(A157="",B157="",D157="",G157="",H157=""),"Complete entry",IF(G157&lt;=0,"Check amount",IF(H157="Cancelled","Cancelled",IF(H157="Cleared",IF(I157="","Enter cash date","Cleared"),IF(H157="Bounced","Follow up bounced",IF(F157="","Enter expected date",IF(F157&lt;'Data &amp; Targets'!$C$10,"Overdue",IF(F157&lt;'Data &amp; Targets'!$C$10+30,"Due next 30 days","Pending")))))))))</x:f>
      </x:c>
    </x:row>
    <x:row r="158" ht="22" customHeight="1">
      <x:c r="A158" s="107"/>
      <x:c r="B158" s="107"/>
      <x:c r="C158" s="107"/>
      <x:c r="D158" s="107"/>
      <x:c r="E158" s="111"/>
      <x:c r="F158" s="111"/>
      <x:c r="G158" s="109"/>
      <x:c r="H158" s="107"/>
      <x:c r="I158" s="111"/>
      <x:c r="J158" s="107"/>
      <x:c r="K158" t="str">
        <x:f>IF(COUNTA(A158:J158)=0,"",IF(OR(A158="",B158="",D158="",G158="",H158=""),"Complete entry",IF(G158&lt;=0,"Check amount",IF(H158="Cancelled","Cancelled",IF(H158="Cleared",IF(I158="","Enter cash date","Cleared"),IF(H158="Bounced","Follow up bounced",IF(F158="","Enter expected date",IF(F158&lt;'Data &amp; Targets'!$C$10,"Overdue",IF(F158&lt;'Data &amp; Targets'!$C$10+30,"Due next 30 days","Pending")))))))))</x:f>
      </x:c>
    </x:row>
    <x:row r="159" ht="22" customHeight="1">
      <x:c r="A159" s="107"/>
      <x:c r="B159" s="107"/>
      <x:c r="C159" s="107"/>
      <x:c r="D159" s="107"/>
      <x:c r="E159" s="111"/>
      <x:c r="F159" s="111"/>
      <x:c r="G159" s="109"/>
      <x:c r="H159" s="107"/>
      <x:c r="I159" s="111"/>
      <x:c r="J159" s="107"/>
      <x:c r="K159" t="str">
        <x:f>IF(COUNTA(A159:J159)=0,"",IF(OR(A159="",B159="",D159="",G159="",H159=""),"Complete entry",IF(G159&lt;=0,"Check amount",IF(H159="Cancelled","Cancelled",IF(H159="Cleared",IF(I159="","Enter cash date","Cleared"),IF(H159="Bounced","Follow up bounced",IF(F159="","Enter expected date",IF(F159&lt;'Data &amp; Targets'!$C$10,"Overdue",IF(F159&lt;'Data &amp; Targets'!$C$10+30,"Due next 30 days","Pending")))))))))</x:f>
      </x:c>
    </x:row>
    <x:row r="160" ht="22" customHeight="1">
      <x:c r="A160" s="107"/>
      <x:c r="B160" s="107"/>
      <x:c r="C160" s="107"/>
      <x:c r="D160" s="107"/>
      <x:c r="E160" s="111"/>
      <x:c r="F160" s="111"/>
      <x:c r="G160" s="109"/>
      <x:c r="H160" s="107"/>
      <x:c r="I160" s="111"/>
      <x:c r="J160" s="107"/>
      <x:c r="K160" t="str">
        <x:f>IF(COUNTA(A160:J160)=0,"",IF(OR(A160="",B160="",D160="",G160="",H160=""),"Complete entry",IF(G160&lt;=0,"Check amount",IF(H160="Cancelled","Cancelled",IF(H160="Cleared",IF(I160="","Enter cash date","Cleared"),IF(H160="Bounced","Follow up bounced",IF(F160="","Enter expected date",IF(F160&lt;'Data &amp; Targets'!$C$10,"Overdue",IF(F160&lt;'Data &amp; Targets'!$C$10+30,"Due next 30 days","Pending")))))))))</x:f>
      </x:c>
    </x:row>
    <x:row r="161" ht="22" customHeight="1">
      <x:c r="A161" s="107"/>
      <x:c r="B161" s="107"/>
      <x:c r="C161" s="107"/>
      <x:c r="D161" s="107"/>
      <x:c r="E161" s="111"/>
      <x:c r="F161" s="111"/>
      <x:c r="G161" s="109"/>
      <x:c r="H161" s="107"/>
      <x:c r="I161" s="111"/>
      <x:c r="J161" s="107"/>
      <x:c r="K161" t="str">
        <x:f>IF(COUNTA(A161:J161)=0,"",IF(OR(A161="",B161="",D161="",G161="",H161=""),"Complete entry",IF(G161&lt;=0,"Check amount",IF(H161="Cancelled","Cancelled",IF(H161="Cleared",IF(I161="","Enter cash date","Cleared"),IF(H161="Bounced","Follow up bounced",IF(F161="","Enter expected date",IF(F161&lt;'Data &amp; Targets'!$C$10,"Overdue",IF(F161&lt;'Data &amp; Targets'!$C$10+30,"Due next 30 days","Pending")))))))))</x:f>
      </x:c>
    </x:row>
    <x:row r="162" ht="22" customHeight="1">
      <x:c r="A162" s="107"/>
      <x:c r="B162" s="107"/>
      <x:c r="C162" s="107"/>
      <x:c r="D162" s="107"/>
      <x:c r="E162" s="111"/>
      <x:c r="F162" s="111"/>
      <x:c r="G162" s="109"/>
      <x:c r="H162" s="107"/>
      <x:c r="I162" s="111"/>
      <x:c r="J162" s="107"/>
      <x:c r="K162" t="str">
        <x:f>IF(COUNTA(A162:J162)=0,"",IF(OR(A162="",B162="",D162="",G162="",H162=""),"Complete entry",IF(G162&lt;=0,"Check amount",IF(H162="Cancelled","Cancelled",IF(H162="Cleared",IF(I162="","Enter cash date","Cleared"),IF(H162="Bounced","Follow up bounced",IF(F162="","Enter expected date",IF(F162&lt;'Data &amp; Targets'!$C$10,"Overdue",IF(F162&lt;'Data &amp; Targets'!$C$10+30,"Due next 30 days","Pending")))))))))</x:f>
      </x:c>
    </x:row>
    <x:row r="163" ht="22" customHeight="1">
      <x:c r="A163" s="107"/>
      <x:c r="B163" s="107"/>
      <x:c r="C163" s="107"/>
      <x:c r="D163" s="107"/>
      <x:c r="E163" s="111"/>
      <x:c r="F163" s="111"/>
      <x:c r="G163" s="109"/>
      <x:c r="H163" s="107"/>
      <x:c r="I163" s="111"/>
      <x:c r="J163" s="107"/>
      <x:c r="K163" t="str">
        <x:f>IF(COUNTA(A163:J163)=0,"",IF(OR(A163="",B163="",D163="",G163="",H163=""),"Complete entry",IF(G163&lt;=0,"Check amount",IF(H163="Cancelled","Cancelled",IF(H163="Cleared",IF(I163="","Enter cash date","Cleared"),IF(H163="Bounced","Follow up bounced",IF(F163="","Enter expected date",IF(F163&lt;'Data &amp; Targets'!$C$10,"Overdue",IF(F163&lt;'Data &amp; Targets'!$C$10+30,"Due next 30 days","Pending")))))))))</x:f>
      </x:c>
    </x:row>
    <x:row r="164" ht="22" customHeight="1">
      <x:c r="A164" s="107"/>
      <x:c r="B164" s="107"/>
      <x:c r="C164" s="107"/>
      <x:c r="D164" s="107"/>
      <x:c r="E164" s="111"/>
      <x:c r="F164" s="111"/>
      <x:c r="G164" s="109"/>
      <x:c r="H164" s="107"/>
      <x:c r="I164" s="111"/>
      <x:c r="J164" s="107"/>
      <x:c r="K164" t="str">
        <x:f>IF(COUNTA(A164:J164)=0,"",IF(OR(A164="",B164="",D164="",G164="",H164=""),"Complete entry",IF(G164&lt;=0,"Check amount",IF(H164="Cancelled","Cancelled",IF(H164="Cleared",IF(I164="","Enter cash date","Cleared"),IF(H164="Bounced","Follow up bounced",IF(F164="","Enter expected date",IF(F164&lt;'Data &amp; Targets'!$C$10,"Overdue",IF(F164&lt;'Data &amp; Targets'!$C$10+30,"Due next 30 days","Pending")))))))))</x:f>
      </x:c>
    </x:row>
    <x:row r="165" ht="22" customHeight="1">
      <x:c r="A165" s="107"/>
      <x:c r="B165" s="107"/>
      <x:c r="C165" s="107"/>
      <x:c r="D165" s="107"/>
      <x:c r="E165" s="111"/>
      <x:c r="F165" s="111"/>
      <x:c r="G165" s="109"/>
      <x:c r="H165" s="107"/>
      <x:c r="I165" s="111"/>
      <x:c r="J165" s="107"/>
      <x:c r="K165" t="str">
        <x:f>IF(COUNTA(A165:J165)=0,"",IF(OR(A165="",B165="",D165="",G165="",H165=""),"Complete entry",IF(G165&lt;=0,"Check amount",IF(H165="Cancelled","Cancelled",IF(H165="Cleared",IF(I165="","Enter cash date","Cleared"),IF(H165="Bounced","Follow up bounced",IF(F165="","Enter expected date",IF(F165&lt;'Data &amp; Targets'!$C$10,"Overdue",IF(F165&lt;'Data &amp; Targets'!$C$10+30,"Due next 30 days","Pending")))))))))</x:f>
      </x:c>
    </x:row>
    <x:row r="166" ht="22" customHeight="1">
      <x:c r="A166" s="107"/>
      <x:c r="B166" s="107"/>
      <x:c r="C166" s="107"/>
      <x:c r="D166" s="107"/>
      <x:c r="E166" s="111"/>
      <x:c r="F166" s="111"/>
      <x:c r="G166" s="109"/>
      <x:c r="H166" s="107"/>
      <x:c r="I166" s="111"/>
      <x:c r="J166" s="107"/>
      <x:c r="K166" t="str">
        <x:f>IF(COUNTA(A166:J166)=0,"",IF(OR(A166="",B166="",D166="",G166="",H166=""),"Complete entry",IF(G166&lt;=0,"Check amount",IF(H166="Cancelled","Cancelled",IF(H166="Cleared",IF(I166="","Enter cash date","Cleared"),IF(H166="Bounced","Follow up bounced",IF(F166="","Enter expected date",IF(F166&lt;'Data &amp; Targets'!$C$10,"Overdue",IF(F166&lt;'Data &amp; Targets'!$C$10+30,"Due next 30 days","Pending")))))))))</x:f>
      </x:c>
    </x:row>
    <x:row r="167" ht="22" customHeight="1">
      <x:c r="A167" s="107"/>
      <x:c r="B167" s="107"/>
      <x:c r="C167" s="107"/>
      <x:c r="D167" s="107"/>
      <x:c r="E167" s="111"/>
      <x:c r="F167" s="111"/>
      <x:c r="G167" s="109"/>
      <x:c r="H167" s="107"/>
      <x:c r="I167" s="111"/>
      <x:c r="J167" s="107"/>
      <x:c r="K167" t="str">
        <x:f>IF(COUNTA(A167:J167)=0,"",IF(OR(A167="",B167="",D167="",G167="",H167=""),"Complete entry",IF(G167&lt;=0,"Check amount",IF(H167="Cancelled","Cancelled",IF(H167="Cleared",IF(I167="","Enter cash date","Cleared"),IF(H167="Bounced","Follow up bounced",IF(F167="","Enter expected date",IF(F167&lt;'Data &amp; Targets'!$C$10,"Overdue",IF(F167&lt;'Data &amp; Targets'!$C$10+30,"Due next 30 days","Pending")))))))))</x:f>
      </x:c>
    </x:row>
    <x:row r="168" ht="22" customHeight="1">
      <x:c r="A168" s="107"/>
      <x:c r="B168" s="107"/>
      <x:c r="C168" s="107"/>
      <x:c r="D168" s="107"/>
      <x:c r="E168" s="111"/>
      <x:c r="F168" s="111"/>
      <x:c r="G168" s="109"/>
      <x:c r="H168" s="107"/>
      <x:c r="I168" s="111"/>
      <x:c r="J168" s="107"/>
      <x:c r="K168" t="str">
        <x:f>IF(COUNTA(A168:J168)=0,"",IF(OR(A168="",B168="",D168="",G168="",H168=""),"Complete entry",IF(G168&lt;=0,"Check amount",IF(H168="Cancelled","Cancelled",IF(H168="Cleared",IF(I168="","Enter cash date","Cleared"),IF(H168="Bounced","Follow up bounced",IF(F168="","Enter expected date",IF(F168&lt;'Data &amp; Targets'!$C$10,"Overdue",IF(F168&lt;'Data &amp; Targets'!$C$10+30,"Due next 30 days","Pending")))))))))</x:f>
      </x:c>
    </x:row>
    <x:row r="169" ht="22" customHeight="1">
      <x:c r="A169" s="107"/>
      <x:c r="B169" s="107"/>
      <x:c r="C169" s="107"/>
      <x:c r="D169" s="107"/>
      <x:c r="E169" s="111"/>
      <x:c r="F169" s="111"/>
      <x:c r="G169" s="109"/>
      <x:c r="H169" s="107"/>
      <x:c r="I169" s="111"/>
      <x:c r="J169" s="107"/>
      <x:c r="K169" t="str">
        <x:f>IF(COUNTA(A169:J169)=0,"",IF(OR(A169="",B169="",D169="",G169="",H169=""),"Complete entry",IF(G169&lt;=0,"Check amount",IF(H169="Cancelled","Cancelled",IF(H169="Cleared",IF(I169="","Enter cash date","Cleared"),IF(H169="Bounced","Follow up bounced",IF(F169="","Enter expected date",IF(F169&lt;'Data &amp; Targets'!$C$10,"Overdue",IF(F169&lt;'Data &amp; Targets'!$C$10+30,"Due next 30 days","Pending")))))))))</x:f>
      </x:c>
    </x:row>
    <x:row r="170" ht="22" customHeight="1">
      <x:c r="A170" s="107"/>
      <x:c r="B170" s="107"/>
      <x:c r="C170" s="107"/>
      <x:c r="D170" s="107"/>
      <x:c r="E170" s="111"/>
      <x:c r="F170" s="111"/>
      <x:c r="G170" s="109"/>
      <x:c r="H170" s="107"/>
      <x:c r="I170" s="111"/>
      <x:c r="J170" s="107"/>
      <x:c r="K170" t="str">
        <x:f>IF(COUNTA(A170:J170)=0,"",IF(OR(A170="",B170="",D170="",G170="",H170=""),"Complete entry",IF(G170&lt;=0,"Check amount",IF(H170="Cancelled","Cancelled",IF(H170="Cleared",IF(I170="","Enter cash date","Cleared"),IF(H170="Bounced","Follow up bounced",IF(F170="","Enter expected date",IF(F170&lt;'Data &amp; Targets'!$C$10,"Overdue",IF(F170&lt;'Data &amp; Targets'!$C$10+30,"Due next 30 days","Pending")))))))))</x:f>
      </x:c>
    </x:row>
    <x:row r="171" ht="22" customHeight="1">
      <x:c r="A171" s="107"/>
      <x:c r="B171" s="107"/>
      <x:c r="C171" s="107"/>
      <x:c r="D171" s="107"/>
      <x:c r="E171" s="111"/>
      <x:c r="F171" s="111"/>
      <x:c r="G171" s="109"/>
      <x:c r="H171" s="107"/>
      <x:c r="I171" s="111"/>
      <x:c r="J171" s="107"/>
      <x:c r="K171" t="str">
        <x:f>IF(COUNTA(A171:J171)=0,"",IF(OR(A171="",B171="",D171="",G171="",H171=""),"Complete entry",IF(G171&lt;=0,"Check amount",IF(H171="Cancelled","Cancelled",IF(H171="Cleared",IF(I171="","Enter cash date","Cleared"),IF(H171="Bounced","Follow up bounced",IF(F171="","Enter expected date",IF(F171&lt;'Data &amp; Targets'!$C$10,"Overdue",IF(F171&lt;'Data &amp; Targets'!$C$10+30,"Due next 30 days","Pending")))))))))</x:f>
      </x:c>
    </x:row>
    <x:row r="172" ht="22" customHeight="1">
      <x:c r="A172" s="107"/>
      <x:c r="B172" s="107"/>
      <x:c r="C172" s="107"/>
      <x:c r="D172" s="107"/>
      <x:c r="E172" s="111"/>
      <x:c r="F172" s="111"/>
      <x:c r="G172" s="109"/>
      <x:c r="H172" s="107"/>
      <x:c r="I172" s="111"/>
      <x:c r="J172" s="107"/>
      <x:c r="K172" t="str">
        <x:f>IF(COUNTA(A172:J172)=0,"",IF(OR(A172="",B172="",D172="",G172="",H172=""),"Complete entry",IF(G172&lt;=0,"Check amount",IF(H172="Cancelled","Cancelled",IF(H172="Cleared",IF(I172="","Enter cash date","Cleared"),IF(H172="Bounced","Follow up bounced",IF(F172="","Enter expected date",IF(F172&lt;'Data &amp; Targets'!$C$10,"Overdue",IF(F172&lt;'Data &amp; Targets'!$C$10+30,"Due next 30 days","Pending")))))))))</x:f>
      </x:c>
    </x:row>
    <x:row r="173" ht="22" customHeight="1">
      <x:c r="A173" s="107"/>
      <x:c r="B173" s="107"/>
      <x:c r="C173" s="107"/>
      <x:c r="D173" s="107"/>
      <x:c r="E173" s="111"/>
      <x:c r="F173" s="111"/>
      <x:c r="G173" s="109"/>
      <x:c r="H173" s="107"/>
      <x:c r="I173" s="111"/>
      <x:c r="J173" s="107"/>
      <x:c r="K173" t="str">
        <x:f>IF(COUNTA(A173:J173)=0,"",IF(OR(A173="",B173="",D173="",G173="",H173=""),"Complete entry",IF(G173&lt;=0,"Check amount",IF(H173="Cancelled","Cancelled",IF(H173="Cleared",IF(I173="","Enter cash date","Cleared"),IF(H173="Bounced","Follow up bounced",IF(F173="","Enter expected date",IF(F173&lt;'Data &amp; Targets'!$C$10,"Overdue",IF(F173&lt;'Data &amp; Targets'!$C$10+30,"Due next 30 days","Pending")))))))))</x:f>
      </x:c>
    </x:row>
    <x:row r="174" ht="22" customHeight="1">
      <x:c r="A174" s="107"/>
      <x:c r="B174" s="107"/>
      <x:c r="C174" s="107"/>
      <x:c r="D174" s="107"/>
      <x:c r="E174" s="111"/>
      <x:c r="F174" s="111"/>
      <x:c r="G174" s="109"/>
      <x:c r="H174" s="107"/>
      <x:c r="I174" s="111"/>
      <x:c r="J174" s="107"/>
      <x:c r="K174" t="str">
        <x:f>IF(COUNTA(A174:J174)=0,"",IF(OR(A174="",B174="",D174="",G174="",H174=""),"Complete entry",IF(G174&lt;=0,"Check amount",IF(H174="Cancelled","Cancelled",IF(H174="Cleared",IF(I174="","Enter cash date","Cleared"),IF(H174="Bounced","Follow up bounced",IF(F174="","Enter expected date",IF(F174&lt;'Data &amp; Targets'!$C$10,"Overdue",IF(F174&lt;'Data &amp; Targets'!$C$10+30,"Due next 30 days","Pending")))))))))</x:f>
      </x:c>
    </x:row>
    <x:row r="175" ht="22" customHeight="1">
      <x:c r="A175" s="107"/>
      <x:c r="B175" s="107"/>
      <x:c r="C175" s="107"/>
      <x:c r="D175" s="107"/>
      <x:c r="E175" s="111"/>
      <x:c r="F175" s="111"/>
      <x:c r="G175" s="109"/>
      <x:c r="H175" s="107"/>
      <x:c r="I175" s="111"/>
      <x:c r="J175" s="107"/>
      <x:c r="K175" t="str">
        <x:f>IF(COUNTA(A175:J175)=0,"",IF(OR(A175="",B175="",D175="",G175="",H175=""),"Complete entry",IF(G175&lt;=0,"Check amount",IF(H175="Cancelled","Cancelled",IF(H175="Cleared",IF(I175="","Enter cash date","Cleared"),IF(H175="Bounced","Follow up bounced",IF(F175="","Enter expected date",IF(F175&lt;'Data &amp; Targets'!$C$10,"Overdue",IF(F175&lt;'Data &amp; Targets'!$C$10+30,"Due next 30 days","Pending")))))))))</x:f>
      </x:c>
    </x:row>
    <x:row r="176" ht="22" customHeight="1">
      <x:c r="A176" s="107"/>
      <x:c r="B176" s="107"/>
      <x:c r="C176" s="107"/>
      <x:c r="D176" s="107"/>
      <x:c r="E176" s="111"/>
      <x:c r="F176" s="111"/>
      <x:c r="G176" s="109"/>
      <x:c r="H176" s="107"/>
      <x:c r="I176" s="111"/>
      <x:c r="J176" s="107"/>
      <x:c r="K176" t="str">
        <x:f>IF(COUNTA(A176:J176)=0,"",IF(OR(A176="",B176="",D176="",G176="",H176=""),"Complete entry",IF(G176&lt;=0,"Check amount",IF(H176="Cancelled","Cancelled",IF(H176="Cleared",IF(I176="","Enter cash date","Cleared"),IF(H176="Bounced","Follow up bounced",IF(F176="","Enter expected date",IF(F176&lt;'Data &amp; Targets'!$C$10,"Overdue",IF(F176&lt;'Data &amp; Targets'!$C$10+30,"Due next 30 days","Pending")))))))))</x:f>
      </x:c>
    </x:row>
    <x:row r="177" ht="22" customHeight="1">
      <x:c r="A177" s="107"/>
      <x:c r="B177" s="107"/>
      <x:c r="C177" s="107"/>
      <x:c r="D177" s="107"/>
      <x:c r="E177" s="111"/>
      <x:c r="F177" s="111"/>
      <x:c r="G177" s="109"/>
      <x:c r="H177" s="107"/>
      <x:c r="I177" s="111"/>
      <x:c r="J177" s="107"/>
      <x:c r="K177" t="str">
        <x:f>IF(COUNTA(A177:J177)=0,"",IF(OR(A177="",B177="",D177="",G177="",H177=""),"Complete entry",IF(G177&lt;=0,"Check amount",IF(H177="Cancelled","Cancelled",IF(H177="Cleared",IF(I177="","Enter cash date","Cleared"),IF(H177="Bounced","Follow up bounced",IF(F177="","Enter expected date",IF(F177&lt;'Data &amp; Targets'!$C$10,"Overdue",IF(F177&lt;'Data &amp; Targets'!$C$10+30,"Due next 30 days","Pending")))))))))</x:f>
      </x:c>
    </x:row>
    <x:row r="178" ht="22" customHeight="1">
      <x:c r="A178" s="107"/>
      <x:c r="B178" s="107"/>
      <x:c r="C178" s="107"/>
      <x:c r="D178" s="107"/>
      <x:c r="E178" s="111"/>
      <x:c r="F178" s="111"/>
      <x:c r="G178" s="109"/>
      <x:c r="H178" s="107"/>
      <x:c r="I178" s="111"/>
      <x:c r="J178" s="107"/>
      <x:c r="K178" t="str">
        <x:f>IF(COUNTA(A178:J178)=0,"",IF(OR(A178="",B178="",D178="",G178="",H178=""),"Complete entry",IF(G178&lt;=0,"Check amount",IF(H178="Cancelled","Cancelled",IF(H178="Cleared",IF(I178="","Enter cash date","Cleared"),IF(H178="Bounced","Follow up bounced",IF(F178="","Enter expected date",IF(F178&lt;'Data &amp; Targets'!$C$10,"Overdue",IF(F178&lt;'Data &amp; Targets'!$C$10+30,"Due next 30 days","Pending")))))))))</x:f>
      </x:c>
    </x:row>
    <x:row r="179" ht="22" customHeight="1">
      <x:c r="A179" s="107"/>
      <x:c r="B179" s="107"/>
      <x:c r="C179" s="107"/>
      <x:c r="D179" s="107"/>
      <x:c r="E179" s="111"/>
      <x:c r="F179" s="111"/>
      <x:c r="G179" s="109"/>
      <x:c r="H179" s="107"/>
      <x:c r="I179" s="111"/>
      <x:c r="J179" s="107"/>
      <x:c r="K179" t="str">
        <x:f>IF(COUNTA(A179:J179)=0,"",IF(OR(A179="",B179="",D179="",G179="",H179=""),"Complete entry",IF(G179&lt;=0,"Check amount",IF(H179="Cancelled","Cancelled",IF(H179="Cleared",IF(I179="","Enter cash date","Cleared"),IF(H179="Bounced","Follow up bounced",IF(F179="","Enter expected date",IF(F179&lt;'Data &amp; Targets'!$C$10,"Overdue",IF(F179&lt;'Data &amp; Targets'!$C$10+30,"Due next 30 days","Pending")))))))))</x:f>
      </x:c>
    </x:row>
    <x:row r="180" ht="22" customHeight="1">
      <x:c r="A180" s="107"/>
      <x:c r="B180" s="107"/>
      <x:c r="C180" s="107"/>
      <x:c r="D180" s="107"/>
      <x:c r="E180" s="111"/>
      <x:c r="F180" s="111"/>
      <x:c r="G180" s="109"/>
      <x:c r="H180" s="107"/>
      <x:c r="I180" s="111"/>
      <x:c r="J180" s="107"/>
      <x:c r="K180" t="str">
        <x:f>IF(COUNTA(A180:J180)=0,"",IF(OR(A180="",B180="",D180="",G180="",H180=""),"Complete entry",IF(G180&lt;=0,"Check amount",IF(H180="Cancelled","Cancelled",IF(H180="Cleared",IF(I180="","Enter cash date","Cleared"),IF(H180="Bounced","Follow up bounced",IF(F180="","Enter expected date",IF(F180&lt;'Data &amp; Targets'!$C$10,"Overdue",IF(F180&lt;'Data &amp; Targets'!$C$10+30,"Due next 30 days","Pending")))))))))</x:f>
      </x:c>
    </x:row>
    <x:row r="181" ht="22" customHeight="1">
      <x:c r="A181" s="107"/>
      <x:c r="B181" s="107"/>
      <x:c r="C181" s="107"/>
      <x:c r="D181" s="107"/>
      <x:c r="E181" s="111"/>
      <x:c r="F181" s="111"/>
      <x:c r="G181" s="109"/>
      <x:c r="H181" s="107"/>
      <x:c r="I181" s="111"/>
      <x:c r="J181" s="107"/>
      <x:c r="K181" t="str">
        <x:f>IF(COUNTA(A181:J181)=0,"",IF(OR(A181="",B181="",D181="",G181="",H181=""),"Complete entry",IF(G181&lt;=0,"Check amount",IF(H181="Cancelled","Cancelled",IF(H181="Cleared",IF(I181="","Enter cash date","Cleared"),IF(H181="Bounced","Follow up bounced",IF(F181="","Enter expected date",IF(F181&lt;'Data &amp; Targets'!$C$10,"Overdue",IF(F181&lt;'Data &amp; Targets'!$C$10+30,"Due next 30 days","Pending")))))))))</x:f>
      </x:c>
    </x:row>
    <x:row r="182" ht="22" customHeight="1">
      <x:c r="A182" s="107"/>
      <x:c r="B182" s="107"/>
      <x:c r="C182" s="107"/>
      <x:c r="D182" s="107"/>
      <x:c r="E182" s="111"/>
      <x:c r="F182" s="111"/>
      <x:c r="G182" s="109"/>
      <x:c r="H182" s="107"/>
      <x:c r="I182" s="111"/>
      <x:c r="J182" s="107"/>
      <x:c r="K182" t="str">
        <x:f>IF(COUNTA(A182:J182)=0,"",IF(OR(A182="",B182="",D182="",G182="",H182=""),"Complete entry",IF(G182&lt;=0,"Check amount",IF(H182="Cancelled","Cancelled",IF(H182="Cleared",IF(I182="","Enter cash date","Cleared"),IF(H182="Bounced","Follow up bounced",IF(F182="","Enter expected date",IF(F182&lt;'Data &amp; Targets'!$C$10,"Overdue",IF(F182&lt;'Data &amp; Targets'!$C$10+30,"Due next 30 days","Pending")))))))))</x:f>
      </x:c>
    </x:row>
    <x:row r="183" ht="22" customHeight="1">
      <x:c r="A183" s="107"/>
      <x:c r="B183" s="107"/>
      <x:c r="C183" s="107"/>
      <x:c r="D183" s="107"/>
      <x:c r="E183" s="111"/>
      <x:c r="F183" s="111"/>
      <x:c r="G183" s="109"/>
      <x:c r="H183" s="107"/>
      <x:c r="I183" s="111"/>
      <x:c r="J183" s="107"/>
      <x:c r="K183" t="str">
        <x:f>IF(COUNTA(A183:J183)=0,"",IF(OR(A183="",B183="",D183="",G183="",H183=""),"Complete entry",IF(G183&lt;=0,"Check amount",IF(H183="Cancelled","Cancelled",IF(H183="Cleared",IF(I183="","Enter cash date","Cleared"),IF(H183="Bounced","Follow up bounced",IF(F183="","Enter expected date",IF(F183&lt;'Data &amp; Targets'!$C$10,"Overdue",IF(F183&lt;'Data &amp; Targets'!$C$10+30,"Due next 30 days","Pending")))))))))</x:f>
      </x:c>
    </x:row>
    <x:row r="184" ht="22" customHeight="1">
      <x:c r="A184" s="107"/>
      <x:c r="B184" s="107"/>
      <x:c r="C184" s="107"/>
      <x:c r="D184" s="107"/>
      <x:c r="E184" s="111"/>
      <x:c r="F184" s="111"/>
      <x:c r="G184" s="109"/>
      <x:c r="H184" s="107"/>
      <x:c r="I184" s="111"/>
      <x:c r="J184" s="107"/>
      <x:c r="K184" t="str">
        <x:f>IF(COUNTA(A184:J184)=0,"",IF(OR(A184="",B184="",D184="",G184="",H184=""),"Complete entry",IF(G184&lt;=0,"Check amount",IF(H184="Cancelled","Cancelled",IF(H184="Cleared",IF(I184="","Enter cash date","Cleared"),IF(H184="Bounced","Follow up bounced",IF(F184="","Enter expected date",IF(F184&lt;'Data &amp; Targets'!$C$10,"Overdue",IF(F184&lt;'Data &amp; Targets'!$C$10+30,"Due next 30 days","Pending")))))))))</x:f>
      </x:c>
    </x:row>
    <x:row r="185" ht="22" customHeight="1">
      <x:c r="A185" s="107"/>
      <x:c r="B185" s="107"/>
      <x:c r="C185" s="107"/>
      <x:c r="D185" s="107"/>
      <x:c r="E185" s="111"/>
      <x:c r="F185" s="111"/>
      <x:c r="G185" s="109"/>
      <x:c r="H185" s="107"/>
      <x:c r="I185" s="111"/>
      <x:c r="J185" s="107"/>
      <x:c r="K185" t="str">
        <x:f>IF(COUNTA(A185:J185)=0,"",IF(OR(A185="",B185="",D185="",G185="",H185=""),"Complete entry",IF(G185&lt;=0,"Check amount",IF(H185="Cancelled","Cancelled",IF(H185="Cleared",IF(I185="","Enter cash date","Cleared"),IF(H185="Bounced","Follow up bounced",IF(F185="","Enter expected date",IF(F185&lt;'Data &amp; Targets'!$C$10,"Overdue",IF(F185&lt;'Data &amp; Targets'!$C$10+30,"Due next 30 days","Pending")))))))))</x:f>
      </x:c>
    </x:row>
    <x:row r="186" ht="22" customHeight="1">
      <x:c r="A186" s="107"/>
      <x:c r="B186" s="107"/>
      <x:c r="C186" s="107"/>
      <x:c r="D186" s="107"/>
      <x:c r="E186" s="111"/>
      <x:c r="F186" s="111"/>
      <x:c r="G186" s="109"/>
      <x:c r="H186" s="107"/>
      <x:c r="I186" s="111"/>
      <x:c r="J186" s="107"/>
      <x:c r="K186" t="str">
        <x:f>IF(COUNTA(A186:J186)=0,"",IF(OR(A186="",B186="",D186="",G186="",H186=""),"Complete entry",IF(G186&lt;=0,"Check amount",IF(H186="Cancelled","Cancelled",IF(H186="Cleared",IF(I186="","Enter cash date","Cleared"),IF(H186="Bounced","Follow up bounced",IF(F186="","Enter expected date",IF(F186&lt;'Data &amp; Targets'!$C$10,"Overdue",IF(F186&lt;'Data &amp; Targets'!$C$10+30,"Due next 30 days","Pending")))))))))</x:f>
      </x:c>
    </x:row>
    <x:row r="187" ht="22" customHeight="1">
      <x:c r="A187" s="107"/>
      <x:c r="B187" s="107"/>
      <x:c r="C187" s="107"/>
      <x:c r="D187" s="107"/>
      <x:c r="E187" s="111"/>
      <x:c r="F187" s="111"/>
      <x:c r="G187" s="109"/>
      <x:c r="H187" s="107"/>
      <x:c r="I187" s="111"/>
      <x:c r="J187" s="107"/>
      <x:c r="K187" t="str">
        <x:f>IF(COUNTA(A187:J187)=0,"",IF(OR(A187="",B187="",D187="",G187="",H187=""),"Complete entry",IF(G187&lt;=0,"Check amount",IF(H187="Cancelled","Cancelled",IF(H187="Cleared",IF(I187="","Enter cash date","Cleared"),IF(H187="Bounced","Follow up bounced",IF(F187="","Enter expected date",IF(F187&lt;'Data &amp; Targets'!$C$10,"Overdue",IF(F187&lt;'Data &amp; Targets'!$C$10+30,"Due next 30 days","Pending")))))))))</x:f>
      </x:c>
    </x:row>
    <x:row r="188" ht="22" customHeight="1">
      <x:c r="A188" s="107"/>
      <x:c r="B188" s="107"/>
      <x:c r="C188" s="107"/>
      <x:c r="D188" s="107"/>
      <x:c r="E188" s="111"/>
      <x:c r="F188" s="111"/>
      <x:c r="G188" s="109"/>
      <x:c r="H188" s="107"/>
      <x:c r="I188" s="111"/>
      <x:c r="J188" s="107"/>
      <x:c r="K188" t="str">
        <x:f>IF(COUNTA(A188:J188)=0,"",IF(OR(A188="",B188="",D188="",G188="",H188=""),"Complete entry",IF(G188&lt;=0,"Check amount",IF(H188="Cancelled","Cancelled",IF(H188="Cleared",IF(I188="","Enter cash date","Cleared"),IF(H188="Bounced","Follow up bounced",IF(F188="","Enter expected date",IF(F188&lt;'Data &amp; Targets'!$C$10,"Overdue",IF(F188&lt;'Data &amp; Targets'!$C$10+30,"Due next 30 days","Pending")))))))))</x:f>
      </x:c>
    </x:row>
    <x:row r="189" ht="22" customHeight="1">
      <x:c r="A189" s="107"/>
      <x:c r="B189" s="107"/>
      <x:c r="C189" s="107"/>
      <x:c r="D189" s="107"/>
      <x:c r="E189" s="111"/>
      <x:c r="F189" s="111"/>
      <x:c r="G189" s="109"/>
      <x:c r="H189" s="107"/>
      <x:c r="I189" s="111"/>
      <x:c r="J189" s="107"/>
      <x:c r="K189" t="str">
        <x:f>IF(COUNTA(A189:J189)=0,"",IF(OR(A189="",B189="",D189="",G189="",H189=""),"Complete entry",IF(G189&lt;=0,"Check amount",IF(H189="Cancelled","Cancelled",IF(H189="Cleared",IF(I189="","Enter cash date","Cleared"),IF(H189="Bounced","Follow up bounced",IF(F189="","Enter expected date",IF(F189&lt;'Data &amp; Targets'!$C$10,"Overdue",IF(F189&lt;'Data &amp; Targets'!$C$10+30,"Due next 30 days","Pending")))))))))</x:f>
      </x:c>
    </x:row>
    <x:row r="190" ht="22" customHeight="1">
      <x:c r="A190" s="107"/>
      <x:c r="B190" s="107"/>
      <x:c r="C190" s="107"/>
      <x:c r="D190" s="107"/>
      <x:c r="E190" s="111"/>
      <x:c r="F190" s="111"/>
      <x:c r="G190" s="109"/>
      <x:c r="H190" s="107"/>
      <x:c r="I190" s="111"/>
      <x:c r="J190" s="107"/>
      <x:c r="K190" t="str">
        <x:f>IF(COUNTA(A190:J190)=0,"",IF(OR(A190="",B190="",D190="",G190="",H190=""),"Complete entry",IF(G190&lt;=0,"Check amount",IF(H190="Cancelled","Cancelled",IF(H190="Cleared",IF(I190="","Enter cash date","Cleared"),IF(H190="Bounced","Follow up bounced",IF(F190="","Enter expected date",IF(F190&lt;'Data &amp; Targets'!$C$10,"Overdue",IF(F190&lt;'Data &amp; Targets'!$C$10+30,"Due next 30 days","Pending")))))))))</x:f>
      </x:c>
    </x:row>
    <x:row r="191" ht="22" customHeight="1">
      <x:c r="A191" s="107"/>
      <x:c r="B191" s="107"/>
      <x:c r="C191" s="107"/>
      <x:c r="D191" s="107"/>
      <x:c r="E191" s="111"/>
      <x:c r="F191" s="111"/>
      <x:c r="G191" s="109"/>
      <x:c r="H191" s="107"/>
      <x:c r="I191" s="111"/>
      <x:c r="J191" s="107"/>
      <x:c r="K191" t="str">
        <x:f>IF(COUNTA(A191:J191)=0,"",IF(OR(A191="",B191="",D191="",G191="",H191=""),"Complete entry",IF(G191&lt;=0,"Check amount",IF(H191="Cancelled","Cancelled",IF(H191="Cleared",IF(I191="","Enter cash date","Cleared"),IF(H191="Bounced","Follow up bounced",IF(F191="","Enter expected date",IF(F191&lt;'Data &amp; Targets'!$C$10,"Overdue",IF(F191&lt;'Data &amp; Targets'!$C$10+30,"Due next 30 days","Pending")))))))))</x:f>
      </x:c>
    </x:row>
    <x:row r="192" ht="22" customHeight="1">
      <x:c r="A192" s="107"/>
      <x:c r="B192" s="107"/>
      <x:c r="C192" s="107"/>
      <x:c r="D192" s="107"/>
      <x:c r="E192" s="111"/>
      <x:c r="F192" s="111"/>
      <x:c r="G192" s="109"/>
      <x:c r="H192" s="107"/>
      <x:c r="I192" s="111"/>
      <x:c r="J192" s="107"/>
      <x:c r="K192" t="str">
        <x:f>IF(COUNTA(A192:J192)=0,"",IF(OR(A192="",B192="",D192="",G192="",H192=""),"Complete entry",IF(G192&lt;=0,"Check amount",IF(H192="Cancelled","Cancelled",IF(H192="Cleared",IF(I192="","Enter cash date","Cleared"),IF(H192="Bounced","Follow up bounced",IF(F192="","Enter expected date",IF(F192&lt;'Data &amp; Targets'!$C$10,"Overdue",IF(F192&lt;'Data &amp; Targets'!$C$10+30,"Due next 30 days","Pending")))))))))</x:f>
      </x:c>
    </x:row>
    <x:row r="193" ht="22" customHeight="1">
      <x:c r="A193" s="107"/>
      <x:c r="B193" s="107"/>
      <x:c r="C193" s="107"/>
      <x:c r="D193" s="107"/>
      <x:c r="E193" s="111"/>
      <x:c r="F193" s="111"/>
      <x:c r="G193" s="109"/>
      <x:c r="H193" s="107"/>
      <x:c r="I193" s="111"/>
      <x:c r="J193" s="107"/>
      <x:c r="K193" t="str">
        <x:f>IF(COUNTA(A193:J193)=0,"",IF(OR(A193="",B193="",D193="",G193="",H193=""),"Complete entry",IF(G193&lt;=0,"Check amount",IF(H193="Cancelled","Cancelled",IF(H193="Cleared",IF(I193="","Enter cash date","Cleared"),IF(H193="Bounced","Follow up bounced",IF(F193="","Enter expected date",IF(F193&lt;'Data &amp; Targets'!$C$10,"Overdue",IF(F193&lt;'Data &amp; Targets'!$C$10+30,"Due next 30 days","Pending")))))))))</x:f>
      </x:c>
    </x:row>
    <x:row r="194" ht="22" customHeight="1">
      <x:c r="A194" s="107"/>
      <x:c r="B194" s="107"/>
      <x:c r="C194" s="107"/>
      <x:c r="D194" s="107"/>
      <x:c r="E194" s="111"/>
      <x:c r="F194" s="111"/>
      <x:c r="G194" s="109"/>
      <x:c r="H194" s="107"/>
      <x:c r="I194" s="111"/>
      <x:c r="J194" s="107"/>
      <x:c r="K194" t="str">
        <x:f>IF(COUNTA(A194:J194)=0,"",IF(OR(A194="",B194="",D194="",G194="",H194=""),"Complete entry",IF(G194&lt;=0,"Check amount",IF(H194="Cancelled","Cancelled",IF(H194="Cleared",IF(I194="","Enter cash date","Cleared"),IF(H194="Bounced","Follow up bounced",IF(F194="","Enter expected date",IF(F194&lt;'Data &amp; Targets'!$C$10,"Overdue",IF(F194&lt;'Data &amp; Targets'!$C$10+30,"Due next 30 days","Pending")))))))))</x:f>
      </x:c>
    </x:row>
    <x:row r="195" ht="22" customHeight="1">
      <x:c r="A195" s="107"/>
      <x:c r="B195" s="107"/>
      <x:c r="C195" s="107"/>
      <x:c r="D195" s="107"/>
      <x:c r="E195" s="111"/>
      <x:c r="F195" s="111"/>
      <x:c r="G195" s="109"/>
      <x:c r="H195" s="107"/>
      <x:c r="I195" s="111"/>
      <x:c r="J195" s="107"/>
      <x:c r="K195" t="str">
        <x:f>IF(COUNTA(A195:J195)=0,"",IF(OR(A195="",B195="",D195="",G195="",H195=""),"Complete entry",IF(G195&lt;=0,"Check amount",IF(H195="Cancelled","Cancelled",IF(H195="Cleared",IF(I195="","Enter cash date","Cleared"),IF(H195="Bounced","Follow up bounced",IF(F195="","Enter expected date",IF(F195&lt;'Data &amp; Targets'!$C$10,"Overdue",IF(F195&lt;'Data &amp; Targets'!$C$10+30,"Due next 30 days","Pending")))))))))</x:f>
      </x:c>
    </x:row>
    <x:row r="196" ht="22" customHeight="1">
      <x:c r="A196" s="107"/>
      <x:c r="B196" s="107"/>
      <x:c r="C196" s="107"/>
      <x:c r="D196" s="107"/>
      <x:c r="E196" s="111"/>
      <x:c r="F196" s="111"/>
      <x:c r="G196" s="109"/>
      <x:c r="H196" s="107"/>
      <x:c r="I196" s="111"/>
      <x:c r="J196" s="107"/>
      <x:c r="K196" t="str">
        <x:f>IF(COUNTA(A196:J196)=0,"",IF(OR(A196="",B196="",D196="",G196="",H196=""),"Complete entry",IF(G196&lt;=0,"Check amount",IF(H196="Cancelled","Cancelled",IF(H196="Cleared",IF(I196="","Enter cash date","Cleared"),IF(H196="Bounced","Follow up bounced",IF(F196="","Enter expected date",IF(F196&lt;'Data &amp; Targets'!$C$10,"Overdue",IF(F196&lt;'Data &amp; Targets'!$C$10+30,"Due next 30 days","Pending")))))))))</x:f>
      </x:c>
    </x:row>
    <x:row r="197" ht="22" customHeight="1">
      <x:c r="A197" s="107"/>
      <x:c r="B197" s="107"/>
      <x:c r="C197" s="107"/>
      <x:c r="D197" s="107"/>
      <x:c r="E197" s="111"/>
      <x:c r="F197" s="111"/>
      <x:c r="G197" s="109"/>
      <x:c r="H197" s="107"/>
      <x:c r="I197" s="111"/>
      <x:c r="J197" s="107"/>
      <x:c r="K197" t="str">
        <x:f>IF(COUNTA(A197:J197)=0,"",IF(OR(A197="",B197="",D197="",G197="",H197=""),"Complete entry",IF(G197&lt;=0,"Check amount",IF(H197="Cancelled","Cancelled",IF(H197="Cleared",IF(I197="","Enter cash date","Cleared"),IF(H197="Bounced","Follow up bounced",IF(F197="","Enter expected date",IF(F197&lt;'Data &amp; Targets'!$C$10,"Overdue",IF(F197&lt;'Data &amp; Targets'!$C$10+30,"Due next 30 days","Pending")))))))))</x:f>
      </x:c>
    </x:row>
    <x:row r="198" ht="22" customHeight="1">
      <x:c r="A198" s="107"/>
      <x:c r="B198" s="107"/>
      <x:c r="C198" s="107"/>
      <x:c r="D198" s="107"/>
      <x:c r="E198" s="111"/>
      <x:c r="F198" s="111"/>
      <x:c r="G198" s="109"/>
      <x:c r="H198" s="107"/>
      <x:c r="I198" s="111"/>
      <x:c r="J198" s="107"/>
      <x:c r="K198" t="str">
        <x:f>IF(COUNTA(A198:J198)=0,"",IF(OR(A198="",B198="",D198="",G198="",H198=""),"Complete entry",IF(G198&lt;=0,"Check amount",IF(H198="Cancelled","Cancelled",IF(H198="Cleared",IF(I198="","Enter cash date","Cleared"),IF(H198="Bounced","Follow up bounced",IF(F198="","Enter expected date",IF(F198&lt;'Data &amp; Targets'!$C$10,"Overdue",IF(F198&lt;'Data &amp; Targets'!$C$10+30,"Due next 30 days","Pending")))))))))</x:f>
      </x:c>
    </x:row>
    <x:row r="199" ht="22" customHeight="1">
      <x:c r="A199" s="107"/>
      <x:c r="B199" s="107"/>
      <x:c r="C199" s="107"/>
      <x:c r="D199" s="107"/>
      <x:c r="E199" s="111"/>
      <x:c r="F199" s="111"/>
      <x:c r="G199" s="109"/>
      <x:c r="H199" s="107"/>
      <x:c r="I199" s="111"/>
      <x:c r="J199" s="107"/>
      <x:c r="K199" t="str">
        <x:f>IF(COUNTA(A199:J199)=0,"",IF(OR(A199="",B199="",D199="",G199="",H199=""),"Complete entry",IF(G199&lt;=0,"Check amount",IF(H199="Cancelled","Cancelled",IF(H199="Cleared",IF(I199="","Enter cash date","Cleared"),IF(H199="Bounced","Follow up bounced",IF(F199="","Enter expected date",IF(F199&lt;'Data &amp; Targets'!$C$10,"Overdue",IF(F199&lt;'Data &amp; Targets'!$C$10+30,"Due next 30 days","Pending")))))))))</x:f>
      </x:c>
    </x:row>
    <x:row r="200" ht="22" customHeight="1">
      <x:c r="A200" s="107"/>
      <x:c r="B200" s="107"/>
      <x:c r="C200" s="107"/>
      <x:c r="D200" s="107"/>
      <x:c r="E200" s="111"/>
      <x:c r="F200" s="111"/>
      <x:c r="G200" s="109"/>
      <x:c r="H200" s="107"/>
      <x:c r="I200" s="111"/>
      <x:c r="J200" s="107"/>
      <x:c r="K200" t="str">
        <x:f>IF(COUNTA(A200:J200)=0,"",IF(OR(A200="",B200="",D200="",G200="",H200=""),"Complete entry",IF(G200&lt;=0,"Check amount",IF(H200="Cancelled","Cancelled",IF(H200="Cleared",IF(I200="","Enter cash date","Cleared"),IF(H200="Bounced","Follow up bounced",IF(F200="","Enter expected date",IF(F200&lt;'Data &amp; Targets'!$C$10,"Overdue",IF(F200&lt;'Data &amp; Targets'!$C$10+30,"Due next 30 days","Pending")))))))))</x:f>
      </x:c>
    </x:row>
    <x:row r="201" ht="22" customHeight="1">
      <x:c r="A201" s="107"/>
      <x:c r="B201" s="107"/>
      <x:c r="C201" s="107"/>
      <x:c r="D201" s="107"/>
      <x:c r="E201" s="111"/>
      <x:c r="F201" s="111"/>
      <x:c r="G201" s="109"/>
      <x:c r="H201" s="107"/>
      <x:c r="I201" s="111"/>
      <x:c r="J201" s="107"/>
      <x:c r="K201" t="str">
        <x:f>IF(COUNTA(A201:J201)=0,"",IF(OR(A201="",B201="",D201="",G201="",H201=""),"Complete entry",IF(G201&lt;=0,"Check amount",IF(H201="Cancelled","Cancelled",IF(H201="Cleared",IF(I201="","Enter cash date","Cleared"),IF(H201="Bounced","Follow up bounced",IF(F201="","Enter expected date",IF(F201&lt;'Data &amp; Targets'!$C$10,"Overdue",IF(F201&lt;'Data &amp; Targets'!$C$10+30,"Due next 30 days","Pending")))))))))</x:f>
      </x:c>
    </x:row>
    <x:row r="202" ht="22" customHeight="1">
      <x:c r="A202" s="107"/>
      <x:c r="B202" s="107"/>
      <x:c r="C202" s="107"/>
      <x:c r="D202" s="107"/>
      <x:c r="E202" s="111"/>
      <x:c r="F202" s="111"/>
      <x:c r="G202" s="109"/>
      <x:c r="H202" s="107"/>
      <x:c r="I202" s="111"/>
      <x:c r="J202" s="107"/>
      <x:c r="K202" t="str">
        <x:f>IF(COUNTA(A202:J202)=0,"",IF(OR(A202="",B202="",D202="",G202="",H202=""),"Complete entry",IF(G202&lt;=0,"Check amount",IF(H202="Cancelled","Cancelled",IF(H202="Cleared",IF(I202="","Enter cash date","Cleared"),IF(H202="Bounced","Follow up bounced",IF(F202="","Enter expected date",IF(F202&lt;'Data &amp; Targets'!$C$10,"Overdue",IF(F202&lt;'Data &amp; Targets'!$C$10+30,"Due next 30 days","Pending")))))))))</x:f>
      </x:c>
    </x:row>
    <x:row r="203" ht="22" customHeight="1">
      <x:c r="A203" s="107"/>
      <x:c r="B203" s="107"/>
      <x:c r="C203" s="107"/>
      <x:c r="D203" s="107"/>
      <x:c r="E203" s="111"/>
      <x:c r="F203" s="111"/>
      <x:c r="G203" s="109"/>
      <x:c r="H203" s="107"/>
      <x:c r="I203" s="111"/>
      <x:c r="J203" s="107"/>
      <x:c r="K203" t="str">
        <x:f>IF(COUNTA(A203:J203)=0,"",IF(OR(A203="",B203="",D203="",G203="",H203=""),"Complete entry",IF(G203&lt;=0,"Check amount",IF(H203="Cancelled","Cancelled",IF(H203="Cleared",IF(I203="","Enter cash date","Cleared"),IF(H203="Bounced","Follow up bounced",IF(F203="","Enter expected date",IF(F203&lt;'Data &amp; Targets'!$C$10,"Overdue",IF(F203&lt;'Data &amp; Targets'!$C$10+30,"Due next 30 days","Pending")))))))))</x:f>
      </x:c>
    </x:row>
    <x:row r="204" ht="22" customHeight="1">
      <x:c r="A204" s="107"/>
      <x:c r="B204" s="107"/>
      <x:c r="C204" s="107"/>
      <x:c r="D204" s="107"/>
      <x:c r="E204" s="111"/>
      <x:c r="F204" s="111"/>
      <x:c r="G204" s="109"/>
      <x:c r="H204" s="107"/>
      <x:c r="I204" s="111"/>
      <x:c r="J204" s="107"/>
      <x:c r="K204" t="str">
        <x:f>IF(COUNTA(A204:J204)=0,"",IF(OR(A204="",B204="",D204="",G204="",H204=""),"Complete entry",IF(G204&lt;=0,"Check amount",IF(H204="Cancelled","Cancelled",IF(H204="Cleared",IF(I204="","Enter cash date","Cleared"),IF(H204="Bounced","Follow up bounced",IF(F204="","Enter expected date",IF(F204&lt;'Data &amp; Targets'!$C$10,"Overdue",IF(F204&lt;'Data &amp; Targets'!$C$10+30,"Due next 30 days","Pending")))))))))</x:f>
      </x:c>
    </x:row>
    <x:row r="205" ht="22" customHeight="1">
      <x:c r="A205" s="107"/>
      <x:c r="B205" s="107"/>
      <x:c r="C205" s="107"/>
      <x:c r="D205" s="107"/>
      <x:c r="E205" s="111"/>
      <x:c r="F205" s="111"/>
      <x:c r="G205" s="109"/>
      <x:c r="H205" s="107"/>
      <x:c r="I205" s="111"/>
      <x:c r="J205" s="107"/>
      <x:c r="K205" t="str">
        <x:f>IF(COUNTA(A205:J205)=0,"",IF(OR(A205="",B205="",D205="",G205="",H205=""),"Complete entry",IF(G205&lt;=0,"Check amount",IF(H205="Cancelled","Cancelled",IF(H205="Cleared",IF(I205="","Enter cash date","Cleared"),IF(H205="Bounced","Follow up bounced",IF(F205="","Enter expected date",IF(F205&lt;'Data &amp; Targets'!$C$10,"Overdue",IF(F205&lt;'Data &amp; Targets'!$C$10+30,"Due next 30 days","Pending")))))))))</x:f>
      </x:c>
    </x:row>
    <x:row r="206" ht="22" customHeight="1">
      <x:c r="A206" s="107"/>
      <x:c r="B206" s="107"/>
      <x:c r="C206" s="107"/>
      <x:c r="D206" s="107"/>
      <x:c r="E206" s="111"/>
      <x:c r="F206" s="111"/>
      <x:c r="G206" s="109"/>
      <x:c r="H206" s="107"/>
      <x:c r="I206" s="111"/>
      <x:c r="J206" s="107"/>
      <x:c r="K206" t="str">
        <x:f>IF(COUNTA(A206:J206)=0,"",IF(OR(A206="",B206="",D206="",G206="",H206=""),"Complete entry",IF(G206&lt;=0,"Check amount",IF(H206="Cancelled","Cancelled",IF(H206="Cleared",IF(I206="","Enter cash date","Cleared"),IF(H206="Bounced","Follow up bounced",IF(F206="","Enter expected date",IF(F206&lt;'Data &amp; Targets'!$C$10,"Overdue",IF(F206&lt;'Data &amp; Targets'!$C$10+30,"Due next 30 days","Pending")))))))))</x:f>
      </x:c>
    </x:row>
    <x:row r="207" ht="22" customHeight="1">
      <x:c r="A207" s="107"/>
      <x:c r="B207" s="107"/>
      <x:c r="C207" s="107"/>
      <x:c r="D207" s="107"/>
      <x:c r="E207" s="111"/>
      <x:c r="F207" s="111"/>
      <x:c r="G207" s="109"/>
      <x:c r="H207" s="107"/>
      <x:c r="I207" s="111"/>
      <x:c r="J207" s="107"/>
      <x:c r="K207" t="str">
        <x:f>IF(COUNTA(A207:J207)=0,"",IF(OR(A207="",B207="",D207="",G207="",H207=""),"Complete entry",IF(G207&lt;=0,"Check amount",IF(H207="Cancelled","Cancelled",IF(H207="Cleared",IF(I207="","Enter cash date","Cleared"),IF(H207="Bounced","Follow up bounced",IF(F207="","Enter expected date",IF(F207&lt;'Data &amp; Targets'!$C$10,"Overdue",IF(F207&lt;'Data &amp; Targets'!$C$10+30,"Due next 30 days","Pending")))))))))</x:f>
      </x:c>
    </x:row>
    <x:row r="208" ht="22" customHeight="1">
      <x:c r="A208" s="107"/>
      <x:c r="B208" s="107"/>
      <x:c r="C208" s="107"/>
      <x:c r="D208" s="107"/>
      <x:c r="E208" s="111"/>
      <x:c r="F208" s="111"/>
      <x:c r="G208" s="109"/>
      <x:c r="H208" s="107"/>
      <x:c r="I208" s="111"/>
      <x:c r="J208" s="107"/>
      <x:c r="K208" t="str">
        <x:f>IF(COUNTA(A208:J208)=0,"",IF(OR(A208="",B208="",D208="",G208="",H208=""),"Complete entry",IF(G208&lt;=0,"Check amount",IF(H208="Cancelled","Cancelled",IF(H208="Cleared",IF(I208="","Enter cash date","Cleared"),IF(H208="Bounced","Follow up bounced",IF(F208="","Enter expected date",IF(F208&lt;'Data &amp; Targets'!$C$10,"Overdue",IF(F208&lt;'Data &amp; Targets'!$C$10+30,"Due next 30 days","Pending")))))))))</x:f>
      </x:c>
    </x:row>
    <x:row r="209" ht="22" customHeight="1">
      <x:c r="A209" s="107"/>
      <x:c r="B209" s="107"/>
      <x:c r="C209" s="107"/>
      <x:c r="D209" s="107"/>
      <x:c r="E209" s="111"/>
      <x:c r="F209" s="111"/>
      <x:c r="G209" s="109"/>
      <x:c r="H209" s="107"/>
      <x:c r="I209" s="111"/>
      <x:c r="J209" s="107"/>
      <x:c r="K209" t="str">
        <x:f>IF(COUNTA(A209:J209)=0,"",IF(OR(A209="",B209="",D209="",G209="",H209=""),"Complete entry",IF(G209&lt;=0,"Check amount",IF(H209="Cancelled","Cancelled",IF(H209="Cleared",IF(I209="","Enter cash date","Cleared"),IF(H209="Bounced","Follow up bounced",IF(F209="","Enter expected date",IF(F209&lt;'Data &amp; Targets'!$C$10,"Overdue",IF(F209&lt;'Data &amp; Targets'!$C$10+30,"Due next 30 days","Pending")))))))))</x:f>
      </x:c>
    </x:row>
    <x:row r="210" ht="22" customHeight="1">
      <x:c r="A210" s="107"/>
      <x:c r="B210" s="107"/>
      <x:c r="C210" s="107"/>
      <x:c r="D210" s="107"/>
      <x:c r="E210" s="111"/>
      <x:c r="F210" s="111"/>
      <x:c r="G210" s="109"/>
      <x:c r="H210" s="107"/>
      <x:c r="I210" s="111"/>
      <x:c r="J210" s="107"/>
      <x:c r="K210" t="str">
        <x:f>IF(COUNTA(A210:J210)=0,"",IF(OR(A210="",B210="",D210="",G210="",H210=""),"Complete entry",IF(G210&lt;=0,"Check amount",IF(H210="Cancelled","Cancelled",IF(H210="Cleared",IF(I210="","Enter cash date","Cleared"),IF(H210="Bounced","Follow up bounced",IF(F210="","Enter expected date",IF(F210&lt;'Data &amp; Targets'!$C$10,"Overdue",IF(F210&lt;'Data &amp; Targets'!$C$10+30,"Due next 30 days","Pending")))))))))</x:f>
      </x:c>
    </x:row>
    <x:row r="211" ht="22" customHeight="1">
      <x:c r="A211" s="107"/>
      <x:c r="B211" s="107"/>
      <x:c r="C211" s="107"/>
      <x:c r="D211" s="107"/>
      <x:c r="E211" s="111"/>
      <x:c r="F211" s="111"/>
      <x:c r="G211" s="109"/>
      <x:c r="H211" s="107"/>
      <x:c r="I211" s="111"/>
      <x:c r="J211" s="107"/>
      <x:c r="K211" t="str">
        <x:f>IF(COUNTA(A211:J211)=0,"",IF(OR(A211="",B211="",D211="",G211="",H211=""),"Complete entry",IF(G211&lt;=0,"Check amount",IF(H211="Cancelled","Cancelled",IF(H211="Cleared",IF(I211="","Enter cash date","Cleared"),IF(H211="Bounced","Follow up bounced",IF(F211="","Enter expected date",IF(F211&lt;'Data &amp; Targets'!$C$10,"Overdue",IF(F211&lt;'Data &amp; Targets'!$C$10+30,"Due next 30 days","Pending")))))))))</x:f>
      </x:c>
    </x:row>
    <x:row r="212" ht="22" customHeight="1">
      <x:c r="A212" s="107"/>
      <x:c r="B212" s="107"/>
      <x:c r="C212" s="107"/>
      <x:c r="D212" s="107"/>
      <x:c r="E212" s="111"/>
      <x:c r="F212" s="111"/>
      <x:c r="G212" s="109"/>
      <x:c r="H212" s="107"/>
      <x:c r="I212" s="111"/>
      <x:c r="J212" s="107"/>
      <x:c r="K212" t="str">
        <x:f>IF(COUNTA(A212:J212)=0,"",IF(OR(A212="",B212="",D212="",G212="",H212=""),"Complete entry",IF(G212&lt;=0,"Check amount",IF(H212="Cancelled","Cancelled",IF(H212="Cleared",IF(I212="","Enter cash date","Cleared"),IF(H212="Bounced","Follow up bounced",IF(F212="","Enter expected date",IF(F212&lt;'Data &amp; Targets'!$C$10,"Overdue",IF(F212&lt;'Data &amp; Targets'!$C$10+30,"Due next 30 days","Pending")))))))))</x:f>
      </x:c>
    </x:row>
    <x:row r="213" ht="22" customHeight="1">
      <x:c r="A213" s="107"/>
      <x:c r="B213" s="107"/>
      <x:c r="C213" s="107"/>
      <x:c r="D213" s="107"/>
      <x:c r="E213" s="111"/>
      <x:c r="F213" s="111"/>
      <x:c r="G213" s="109"/>
      <x:c r="H213" s="107"/>
      <x:c r="I213" s="111"/>
      <x:c r="J213" s="107"/>
      <x:c r="K213" t="str">
        <x:f>IF(COUNTA(A213:J213)=0,"",IF(OR(A213="",B213="",D213="",G213="",H213=""),"Complete entry",IF(G213&lt;=0,"Check amount",IF(H213="Cancelled","Cancelled",IF(H213="Cleared",IF(I213="","Enter cash date","Cleared"),IF(H213="Bounced","Follow up bounced",IF(F213="","Enter expected date",IF(F213&lt;'Data &amp; Targets'!$C$10,"Overdue",IF(F213&lt;'Data &amp; Targets'!$C$10+30,"Due next 30 days","Pending")))))))))</x:f>
      </x:c>
    </x:row>
    <x:row r="214" ht="22" customHeight="1">
      <x:c r="A214" s="107"/>
      <x:c r="B214" s="107"/>
      <x:c r="C214" s="107"/>
      <x:c r="D214" s="107"/>
      <x:c r="E214" s="111"/>
      <x:c r="F214" s="111"/>
      <x:c r="G214" s="109"/>
      <x:c r="H214" s="107"/>
      <x:c r="I214" s="111"/>
      <x:c r="J214" s="107"/>
      <x:c r="K214" t="str">
        <x:f>IF(COUNTA(A214:J214)=0,"",IF(OR(A214="",B214="",D214="",G214="",H214=""),"Complete entry",IF(G214&lt;=0,"Check amount",IF(H214="Cancelled","Cancelled",IF(H214="Cleared",IF(I214="","Enter cash date","Cleared"),IF(H214="Bounced","Follow up bounced",IF(F214="","Enter expected date",IF(F214&lt;'Data &amp; Targets'!$C$10,"Overdue",IF(F214&lt;'Data &amp; Targets'!$C$10+30,"Due next 30 days","Pending")))))))))</x:f>
      </x:c>
    </x:row>
    <x:row r="215" ht="22" customHeight="1">
      <x:c r="A215" s="107"/>
      <x:c r="B215" s="107"/>
      <x:c r="C215" s="107"/>
      <x:c r="D215" s="107"/>
      <x:c r="E215" s="111"/>
      <x:c r="F215" s="111"/>
      <x:c r="G215" s="109"/>
      <x:c r="H215" s="107"/>
      <x:c r="I215" s="111"/>
      <x:c r="J215" s="107"/>
      <x:c r="K215" t="str">
        <x:f>IF(COUNTA(A215:J215)=0,"",IF(OR(A215="",B215="",D215="",G215="",H215=""),"Complete entry",IF(G215&lt;=0,"Check amount",IF(H215="Cancelled","Cancelled",IF(H215="Cleared",IF(I215="","Enter cash date","Cleared"),IF(H215="Bounced","Follow up bounced",IF(F215="","Enter expected date",IF(F215&lt;'Data &amp; Targets'!$C$10,"Overdue",IF(F215&lt;'Data &amp; Targets'!$C$10+30,"Due next 30 days","Pending")))))))))</x:f>
      </x:c>
    </x:row>
    <x:row r="216" ht="22" customHeight="1">
      <x:c r="A216" s="107"/>
      <x:c r="B216" s="107"/>
      <x:c r="C216" s="107"/>
      <x:c r="D216" s="107"/>
      <x:c r="E216" s="111"/>
      <x:c r="F216" s="111"/>
      <x:c r="G216" s="109"/>
      <x:c r="H216" s="107"/>
      <x:c r="I216" s="111"/>
      <x:c r="J216" s="107"/>
      <x:c r="K216" t="str">
        <x:f>IF(COUNTA(A216:J216)=0,"",IF(OR(A216="",B216="",D216="",G216="",H216=""),"Complete entry",IF(G216&lt;=0,"Check amount",IF(H216="Cancelled","Cancelled",IF(H216="Cleared",IF(I216="","Enter cash date","Cleared"),IF(H216="Bounced","Follow up bounced",IF(F216="","Enter expected date",IF(F216&lt;'Data &amp; Targets'!$C$10,"Overdue",IF(F216&lt;'Data &amp; Targets'!$C$10+30,"Due next 30 days","Pending")))))))))</x:f>
      </x:c>
    </x:row>
    <x:row r="217" ht="22" customHeight="1">
      <x:c r="A217" s="107"/>
      <x:c r="B217" s="107"/>
      <x:c r="C217" s="107"/>
      <x:c r="D217" s="107"/>
      <x:c r="E217" s="111"/>
      <x:c r="F217" s="111"/>
      <x:c r="G217" s="109"/>
      <x:c r="H217" s="107"/>
      <x:c r="I217" s="111"/>
      <x:c r="J217" s="107"/>
      <x:c r="K217" t="str">
        <x:f>IF(COUNTA(A217:J217)=0,"",IF(OR(A217="",B217="",D217="",G217="",H217=""),"Complete entry",IF(G217&lt;=0,"Check amount",IF(H217="Cancelled","Cancelled",IF(H217="Cleared",IF(I217="","Enter cash date","Cleared"),IF(H217="Bounced","Follow up bounced",IF(F217="","Enter expected date",IF(F217&lt;'Data &amp; Targets'!$C$10,"Overdue",IF(F217&lt;'Data &amp; Targets'!$C$10+30,"Due next 30 days","Pending")))))))))</x:f>
      </x:c>
    </x:row>
    <x:row r="218" ht="22" customHeight="1">
      <x:c r="A218" s="107"/>
      <x:c r="B218" s="107"/>
      <x:c r="C218" s="107"/>
      <x:c r="D218" s="107"/>
      <x:c r="E218" s="111"/>
      <x:c r="F218" s="111"/>
      <x:c r="G218" s="109"/>
      <x:c r="H218" s="107"/>
      <x:c r="I218" s="111"/>
      <x:c r="J218" s="107"/>
      <x:c r="K218" t="str">
        <x:f>IF(COUNTA(A218:J218)=0,"",IF(OR(A218="",B218="",D218="",G218="",H218=""),"Complete entry",IF(G218&lt;=0,"Check amount",IF(H218="Cancelled","Cancelled",IF(H218="Cleared",IF(I218="","Enter cash date","Cleared"),IF(H218="Bounced","Follow up bounced",IF(F218="","Enter expected date",IF(F218&lt;'Data &amp; Targets'!$C$10,"Overdue",IF(F218&lt;'Data &amp; Targets'!$C$10+30,"Due next 30 days","Pending")))))))))</x:f>
      </x:c>
    </x:row>
    <x:row r="219" ht="22" customHeight="1">
      <x:c r="A219" s="107"/>
      <x:c r="B219" s="107"/>
      <x:c r="C219" s="107"/>
      <x:c r="D219" s="107"/>
      <x:c r="E219" s="111"/>
      <x:c r="F219" s="111"/>
      <x:c r="G219" s="109"/>
      <x:c r="H219" s="107"/>
      <x:c r="I219" s="111"/>
      <x:c r="J219" s="107"/>
      <x:c r="K219" t="str">
        <x:f>IF(COUNTA(A219:J219)=0,"",IF(OR(A219="",B219="",D219="",G219="",H219=""),"Complete entry",IF(G219&lt;=0,"Check amount",IF(H219="Cancelled","Cancelled",IF(H219="Cleared",IF(I219="","Enter cash date","Cleared"),IF(H219="Bounced","Follow up bounced",IF(F219="","Enter expected date",IF(F219&lt;'Data &amp; Targets'!$C$10,"Overdue",IF(F219&lt;'Data &amp; Targets'!$C$10+30,"Due next 30 days","Pending")))))))))</x:f>
      </x:c>
    </x:row>
    <x:row r="220" ht="22" customHeight="1">
      <x:c r="A220" s="107"/>
      <x:c r="B220" s="107"/>
      <x:c r="C220" s="107"/>
      <x:c r="D220" s="107"/>
      <x:c r="E220" s="111"/>
      <x:c r="F220" s="111"/>
      <x:c r="G220" s="109"/>
      <x:c r="H220" s="107"/>
      <x:c r="I220" s="111"/>
      <x:c r="J220" s="107"/>
      <x:c r="K220" t="str">
        <x:f>IF(COUNTA(A220:J220)=0,"",IF(OR(A220="",B220="",D220="",G220="",H220=""),"Complete entry",IF(G220&lt;=0,"Check amount",IF(H220="Cancelled","Cancelled",IF(H220="Cleared",IF(I220="","Enter cash date","Cleared"),IF(H220="Bounced","Follow up bounced",IF(F220="","Enter expected date",IF(F220&lt;'Data &amp; Targets'!$C$10,"Overdue",IF(F220&lt;'Data &amp; Targets'!$C$10+30,"Due next 30 days","Pending")))))))))</x:f>
      </x:c>
    </x:row>
    <x:row r="221" ht="22" customHeight="1">
      <x:c r="A221" s="107"/>
      <x:c r="B221" s="107"/>
      <x:c r="C221" s="107"/>
      <x:c r="D221" s="107"/>
      <x:c r="E221" s="111"/>
      <x:c r="F221" s="111"/>
      <x:c r="G221" s="109"/>
      <x:c r="H221" s="107"/>
      <x:c r="I221" s="111"/>
      <x:c r="J221" s="107"/>
      <x:c r="K221" t="str">
        <x:f>IF(COUNTA(A221:J221)=0,"",IF(OR(A221="",B221="",D221="",G221="",H221=""),"Complete entry",IF(G221&lt;=0,"Check amount",IF(H221="Cancelled","Cancelled",IF(H221="Cleared",IF(I221="","Enter cash date","Cleared"),IF(H221="Bounced","Follow up bounced",IF(F221="","Enter expected date",IF(F221&lt;'Data &amp; Targets'!$C$10,"Overdue",IF(F221&lt;'Data &amp; Targets'!$C$10+30,"Due next 30 days","Pending")))))))))</x:f>
      </x:c>
    </x:row>
    <x:row r="222" ht="22" customHeight="1">
      <x:c r="A222" s="107"/>
      <x:c r="B222" s="107"/>
      <x:c r="C222" s="107"/>
      <x:c r="D222" s="107"/>
      <x:c r="E222" s="111"/>
      <x:c r="F222" s="111"/>
      <x:c r="G222" s="109"/>
      <x:c r="H222" s="107"/>
      <x:c r="I222" s="111"/>
      <x:c r="J222" s="107"/>
      <x:c r="K222" t="str">
        <x:f>IF(COUNTA(A222:J222)=0,"",IF(OR(A222="",B222="",D222="",G222="",H222=""),"Complete entry",IF(G222&lt;=0,"Check amount",IF(H222="Cancelled","Cancelled",IF(H222="Cleared",IF(I222="","Enter cash date","Cleared"),IF(H222="Bounced","Follow up bounced",IF(F222="","Enter expected date",IF(F222&lt;'Data &amp; Targets'!$C$10,"Overdue",IF(F222&lt;'Data &amp; Targets'!$C$10+30,"Due next 30 days","Pending")))))))))</x:f>
      </x:c>
    </x:row>
    <x:row r="223" ht="22" customHeight="1">
      <x:c r="A223" s="107"/>
      <x:c r="B223" s="107"/>
      <x:c r="C223" s="107"/>
      <x:c r="D223" s="107"/>
      <x:c r="E223" s="111"/>
      <x:c r="F223" s="111"/>
      <x:c r="G223" s="109"/>
      <x:c r="H223" s="107"/>
      <x:c r="I223" s="111"/>
      <x:c r="J223" s="107"/>
      <x:c r="K223" t="str">
        <x:f>IF(COUNTA(A223:J223)=0,"",IF(OR(A223="",B223="",D223="",G223="",H223=""),"Complete entry",IF(G223&lt;=0,"Check amount",IF(H223="Cancelled","Cancelled",IF(H223="Cleared",IF(I223="","Enter cash date","Cleared"),IF(H223="Bounced","Follow up bounced",IF(F223="","Enter expected date",IF(F223&lt;'Data &amp; Targets'!$C$10,"Overdue",IF(F223&lt;'Data &amp; Targets'!$C$10+30,"Due next 30 days","Pending")))))))))</x:f>
      </x:c>
    </x:row>
    <x:row r="224" ht="22" customHeight="1">
      <x:c r="A224" s="107"/>
      <x:c r="B224" s="107"/>
      <x:c r="C224" s="107"/>
      <x:c r="D224" s="107"/>
      <x:c r="E224" s="111"/>
      <x:c r="F224" s="111"/>
      <x:c r="G224" s="109"/>
      <x:c r="H224" s="107"/>
      <x:c r="I224" s="111"/>
      <x:c r="J224" s="107"/>
      <x:c r="K224" t="str">
        <x:f>IF(COUNTA(A224:J224)=0,"",IF(OR(A224="",B224="",D224="",G224="",H224=""),"Complete entry",IF(G224&lt;=0,"Check amount",IF(H224="Cancelled","Cancelled",IF(H224="Cleared",IF(I224="","Enter cash date","Cleared"),IF(H224="Bounced","Follow up bounced",IF(F224="","Enter expected date",IF(F224&lt;'Data &amp; Targets'!$C$10,"Overdue",IF(F224&lt;'Data &amp; Targets'!$C$10+30,"Due next 30 days","Pending")))))))))</x:f>
      </x:c>
    </x:row>
    <x:row r="225" ht="22" customHeight="1">
      <x:c r="A225" s="107"/>
      <x:c r="B225" s="107"/>
      <x:c r="C225" s="107"/>
      <x:c r="D225" s="107"/>
      <x:c r="E225" s="111"/>
      <x:c r="F225" s="111"/>
      <x:c r="G225" s="109"/>
      <x:c r="H225" s="107"/>
      <x:c r="I225" s="111"/>
      <x:c r="J225" s="107"/>
      <x:c r="K225" t="str">
        <x:f>IF(COUNTA(A225:J225)=0,"",IF(OR(A225="",B225="",D225="",G225="",H225=""),"Complete entry",IF(G225&lt;=0,"Check amount",IF(H225="Cancelled","Cancelled",IF(H225="Cleared",IF(I225="","Enter cash date","Cleared"),IF(H225="Bounced","Follow up bounced",IF(F225="","Enter expected date",IF(F225&lt;'Data &amp; Targets'!$C$10,"Overdue",IF(F225&lt;'Data &amp; Targets'!$C$10+30,"Due next 30 days","Pending")))))))))</x:f>
      </x:c>
    </x:row>
    <x:row r="226" ht="22" customHeight="1">
      <x:c r="A226" s="107"/>
      <x:c r="B226" s="107"/>
      <x:c r="C226" s="107"/>
      <x:c r="D226" s="107"/>
      <x:c r="E226" s="111"/>
      <x:c r="F226" s="111"/>
      <x:c r="G226" s="109"/>
      <x:c r="H226" s="107"/>
      <x:c r="I226" s="111"/>
      <x:c r="J226" s="107"/>
      <x:c r="K226" t="str">
        <x:f>IF(COUNTA(A226:J226)=0,"",IF(OR(A226="",B226="",D226="",G226="",H226=""),"Complete entry",IF(G226&lt;=0,"Check amount",IF(H226="Cancelled","Cancelled",IF(H226="Cleared",IF(I226="","Enter cash date","Cleared"),IF(H226="Bounced","Follow up bounced",IF(F226="","Enter expected date",IF(F226&lt;'Data &amp; Targets'!$C$10,"Overdue",IF(F226&lt;'Data &amp; Targets'!$C$10+30,"Due next 30 days","Pending")))))))))</x:f>
      </x:c>
    </x:row>
    <x:row r="227" ht="22" customHeight="1">
      <x:c r="A227" s="107"/>
      <x:c r="B227" s="107"/>
      <x:c r="C227" s="107"/>
      <x:c r="D227" s="107"/>
      <x:c r="E227" s="111"/>
      <x:c r="F227" s="111"/>
      <x:c r="G227" s="109"/>
      <x:c r="H227" s="107"/>
      <x:c r="I227" s="111"/>
      <x:c r="J227" s="107"/>
      <x:c r="K227" t="str">
        <x:f>IF(COUNTA(A227:J227)=0,"",IF(OR(A227="",B227="",D227="",G227="",H227=""),"Complete entry",IF(G227&lt;=0,"Check amount",IF(H227="Cancelled","Cancelled",IF(H227="Cleared",IF(I227="","Enter cash date","Cleared"),IF(H227="Bounced","Follow up bounced",IF(F227="","Enter expected date",IF(F227&lt;'Data &amp; Targets'!$C$10,"Overdue",IF(F227&lt;'Data &amp; Targets'!$C$10+30,"Due next 30 days","Pending")))))))))</x:f>
      </x:c>
    </x:row>
    <x:row r="228" ht="22" customHeight="1">
      <x:c r="A228" s="107"/>
      <x:c r="B228" s="107"/>
      <x:c r="C228" s="107"/>
      <x:c r="D228" s="107"/>
      <x:c r="E228" s="111"/>
      <x:c r="F228" s="111"/>
      <x:c r="G228" s="109"/>
      <x:c r="H228" s="107"/>
      <x:c r="I228" s="111"/>
      <x:c r="J228" s="107"/>
      <x:c r="K228" t="str">
        <x:f>IF(COUNTA(A228:J228)=0,"",IF(OR(A228="",B228="",D228="",G228="",H228=""),"Complete entry",IF(G228&lt;=0,"Check amount",IF(H228="Cancelled","Cancelled",IF(H228="Cleared",IF(I228="","Enter cash date","Cleared"),IF(H228="Bounced","Follow up bounced",IF(F228="","Enter expected date",IF(F228&lt;'Data &amp; Targets'!$C$10,"Overdue",IF(F228&lt;'Data &amp; Targets'!$C$10+30,"Due next 30 days","Pending")))))))))</x:f>
      </x:c>
    </x:row>
    <x:row r="229" ht="22" customHeight="1">
      <x:c r="A229" s="107"/>
      <x:c r="B229" s="107"/>
      <x:c r="C229" s="107"/>
      <x:c r="D229" s="107"/>
      <x:c r="E229" s="111"/>
      <x:c r="F229" s="111"/>
      <x:c r="G229" s="109"/>
      <x:c r="H229" s="107"/>
      <x:c r="I229" s="111"/>
      <x:c r="J229" s="107"/>
      <x:c r="K229" t="str">
        <x:f>IF(COUNTA(A229:J229)=0,"",IF(OR(A229="",B229="",D229="",G229="",H229=""),"Complete entry",IF(G229&lt;=0,"Check amount",IF(H229="Cancelled","Cancelled",IF(H229="Cleared",IF(I229="","Enter cash date","Cleared"),IF(H229="Bounced","Follow up bounced",IF(F229="","Enter expected date",IF(F229&lt;'Data &amp; Targets'!$C$10,"Overdue",IF(F229&lt;'Data &amp; Targets'!$C$10+30,"Due next 30 days","Pending")))))))))</x:f>
      </x:c>
    </x:row>
    <x:row r="230" ht="22" customHeight="1">
      <x:c r="A230" s="107"/>
      <x:c r="B230" s="107"/>
      <x:c r="C230" s="107"/>
      <x:c r="D230" s="107"/>
      <x:c r="E230" s="111"/>
      <x:c r="F230" s="111"/>
      <x:c r="G230" s="109"/>
      <x:c r="H230" s="107"/>
      <x:c r="I230" s="111"/>
      <x:c r="J230" s="107"/>
      <x:c r="K230" t="str">
        <x:f>IF(COUNTA(A230:J230)=0,"",IF(OR(A230="",B230="",D230="",G230="",H230=""),"Complete entry",IF(G230&lt;=0,"Check amount",IF(H230="Cancelled","Cancelled",IF(H230="Cleared",IF(I230="","Enter cash date","Cleared"),IF(H230="Bounced","Follow up bounced",IF(F230="","Enter expected date",IF(F230&lt;'Data &amp; Targets'!$C$10,"Overdue",IF(F230&lt;'Data &amp; Targets'!$C$10+30,"Due next 30 days","Pending")))))))))</x:f>
      </x:c>
    </x:row>
    <x:row r="231" ht="22" customHeight="1">
      <x:c r="A231" s="107"/>
      <x:c r="B231" s="107"/>
      <x:c r="C231" s="107"/>
      <x:c r="D231" s="107"/>
      <x:c r="E231" s="111"/>
      <x:c r="F231" s="111"/>
      <x:c r="G231" s="109"/>
      <x:c r="H231" s="107"/>
      <x:c r="I231" s="111"/>
      <x:c r="J231" s="107"/>
      <x:c r="K231" t="str">
        <x:f>IF(COUNTA(A231:J231)=0,"",IF(OR(A231="",B231="",D231="",G231="",H231=""),"Complete entry",IF(G231&lt;=0,"Check amount",IF(H231="Cancelled","Cancelled",IF(H231="Cleared",IF(I231="","Enter cash date","Cleared"),IF(H231="Bounced","Follow up bounced",IF(F231="","Enter expected date",IF(F231&lt;'Data &amp; Targets'!$C$10,"Overdue",IF(F231&lt;'Data &amp; Targets'!$C$10+30,"Due next 30 days","Pending")))))))))</x:f>
      </x:c>
    </x:row>
    <x:row r="232" ht="22" customHeight="1">
      <x:c r="A232" s="107"/>
      <x:c r="B232" s="107"/>
      <x:c r="C232" s="107"/>
      <x:c r="D232" s="107"/>
      <x:c r="E232" s="111"/>
      <x:c r="F232" s="111"/>
      <x:c r="G232" s="109"/>
      <x:c r="H232" s="107"/>
      <x:c r="I232" s="111"/>
      <x:c r="J232" s="107"/>
      <x:c r="K232" t="str">
        <x:f>IF(COUNTA(A232:J232)=0,"",IF(OR(A232="",B232="",D232="",G232="",H232=""),"Complete entry",IF(G232&lt;=0,"Check amount",IF(H232="Cancelled","Cancelled",IF(H232="Cleared",IF(I232="","Enter cash date","Cleared"),IF(H232="Bounced","Follow up bounced",IF(F232="","Enter expected date",IF(F232&lt;'Data &amp; Targets'!$C$10,"Overdue",IF(F232&lt;'Data &amp; Targets'!$C$10+30,"Due next 30 days","Pending")))))))))</x:f>
      </x:c>
    </x:row>
    <x:row r="233" ht="22" customHeight="1">
      <x:c r="A233" s="107"/>
      <x:c r="B233" s="107"/>
      <x:c r="C233" s="107"/>
      <x:c r="D233" s="107"/>
      <x:c r="E233" s="111"/>
      <x:c r="F233" s="111"/>
      <x:c r="G233" s="109"/>
      <x:c r="H233" s="107"/>
      <x:c r="I233" s="111"/>
      <x:c r="J233" s="107"/>
      <x:c r="K233" t="str">
        <x:f>IF(COUNTA(A233:J233)=0,"",IF(OR(A233="",B233="",D233="",G233="",H233=""),"Complete entry",IF(G233&lt;=0,"Check amount",IF(H233="Cancelled","Cancelled",IF(H233="Cleared",IF(I233="","Enter cash date","Cleared"),IF(H233="Bounced","Follow up bounced",IF(F233="","Enter expected date",IF(F233&lt;'Data &amp; Targets'!$C$10,"Overdue",IF(F233&lt;'Data &amp; Targets'!$C$10+30,"Due next 30 days","Pending")))))))))</x:f>
      </x:c>
    </x:row>
    <x:row r="234" ht="22" customHeight="1">
      <x:c r="A234" s="107"/>
      <x:c r="B234" s="107"/>
      <x:c r="C234" s="107"/>
      <x:c r="D234" s="107"/>
      <x:c r="E234" s="111"/>
      <x:c r="F234" s="111"/>
      <x:c r="G234" s="109"/>
      <x:c r="H234" s="107"/>
      <x:c r="I234" s="111"/>
      <x:c r="J234" s="107"/>
      <x:c r="K234" t="str">
        <x:f>IF(COUNTA(A234:J234)=0,"",IF(OR(A234="",B234="",D234="",G234="",H234=""),"Complete entry",IF(G234&lt;=0,"Check amount",IF(H234="Cancelled","Cancelled",IF(H234="Cleared",IF(I234="","Enter cash date","Cleared"),IF(H234="Bounced","Follow up bounced",IF(F234="","Enter expected date",IF(F234&lt;'Data &amp; Targets'!$C$10,"Overdue",IF(F234&lt;'Data &amp; Targets'!$C$10+30,"Due next 30 days","Pending")))))))))</x:f>
      </x:c>
    </x:row>
    <x:row r="235" ht="22" customHeight="1">
      <x:c r="A235" s="107"/>
      <x:c r="B235" s="107"/>
      <x:c r="C235" s="107"/>
      <x:c r="D235" s="107"/>
      <x:c r="E235" s="111"/>
      <x:c r="F235" s="111"/>
      <x:c r="G235" s="109"/>
      <x:c r="H235" s="107"/>
      <x:c r="I235" s="111"/>
      <x:c r="J235" s="107"/>
      <x:c r="K235" t="str">
        <x:f>IF(COUNTA(A235:J235)=0,"",IF(OR(A235="",B235="",D235="",G235="",H235=""),"Complete entry",IF(G235&lt;=0,"Check amount",IF(H235="Cancelled","Cancelled",IF(H235="Cleared",IF(I235="","Enter cash date","Cleared"),IF(H235="Bounced","Follow up bounced",IF(F235="","Enter expected date",IF(F235&lt;'Data &amp; Targets'!$C$10,"Overdue",IF(F235&lt;'Data &amp; Targets'!$C$10+30,"Due next 30 days","Pending")))))))))</x:f>
      </x:c>
    </x:row>
    <x:row r="236" ht="22" customHeight="1">
      <x:c r="A236" s="107"/>
      <x:c r="B236" s="107"/>
      <x:c r="C236" s="107"/>
      <x:c r="D236" s="107"/>
      <x:c r="E236" s="111"/>
      <x:c r="F236" s="111"/>
      <x:c r="G236" s="109"/>
      <x:c r="H236" s="107"/>
      <x:c r="I236" s="111"/>
      <x:c r="J236" s="107"/>
      <x:c r="K236" t="str">
        <x:f>IF(COUNTA(A236:J236)=0,"",IF(OR(A236="",B236="",D236="",G236="",H236=""),"Complete entry",IF(G236&lt;=0,"Check amount",IF(H236="Cancelled","Cancelled",IF(H236="Cleared",IF(I236="","Enter cash date","Cleared"),IF(H236="Bounced","Follow up bounced",IF(F236="","Enter expected date",IF(F236&lt;'Data &amp; Targets'!$C$10,"Overdue",IF(F236&lt;'Data &amp; Targets'!$C$10+30,"Due next 30 days","Pending")))))))))</x:f>
      </x:c>
    </x:row>
    <x:row r="237" ht="22" customHeight="1">
      <x:c r="A237" s="107"/>
      <x:c r="B237" s="107"/>
      <x:c r="C237" s="107"/>
      <x:c r="D237" s="107"/>
      <x:c r="E237" s="111"/>
      <x:c r="F237" s="111"/>
      <x:c r="G237" s="109"/>
      <x:c r="H237" s="107"/>
      <x:c r="I237" s="111"/>
      <x:c r="J237" s="107"/>
      <x:c r="K237" t="str">
        <x:f>IF(COUNTA(A237:J237)=0,"",IF(OR(A237="",B237="",D237="",G237="",H237=""),"Complete entry",IF(G237&lt;=0,"Check amount",IF(H237="Cancelled","Cancelled",IF(H237="Cleared",IF(I237="","Enter cash date","Cleared"),IF(H237="Bounced","Follow up bounced",IF(F237="","Enter expected date",IF(F237&lt;'Data &amp; Targets'!$C$10,"Overdue",IF(F237&lt;'Data &amp; Targets'!$C$10+30,"Due next 30 days","Pending")))))))))</x:f>
      </x:c>
    </x:row>
    <x:row r="238" ht="22" customHeight="1">
      <x:c r="A238" s="107"/>
      <x:c r="B238" s="107"/>
      <x:c r="C238" s="107"/>
      <x:c r="D238" s="107"/>
      <x:c r="E238" s="111"/>
      <x:c r="F238" s="111"/>
      <x:c r="G238" s="109"/>
      <x:c r="H238" s="107"/>
      <x:c r="I238" s="111"/>
      <x:c r="J238" s="107"/>
      <x:c r="K238" t="str">
        <x:f>IF(COUNTA(A238:J238)=0,"",IF(OR(A238="",B238="",D238="",G238="",H238=""),"Complete entry",IF(G238&lt;=0,"Check amount",IF(H238="Cancelled","Cancelled",IF(H238="Cleared",IF(I238="","Enter cash date","Cleared"),IF(H238="Bounced","Follow up bounced",IF(F238="","Enter expected date",IF(F238&lt;'Data &amp; Targets'!$C$10,"Overdue",IF(F238&lt;'Data &amp; Targets'!$C$10+30,"Due next 30 days","Pending")))))))))</x:f>
      </x:c>
    </x:row>
    <x:row r="239" ht="22" customHeight="1">
      <x:c r="A239" s="107"/>
      <x:c r="B239" s="107"/>
      <x:c r="C239" s="107"/>
      <x:c r="D239" s="107"/>
      <x:c r="E239" s="111"/>
      <x:c r="F239" s="111"/>
      <x:c r="G239" s="109"/>
      <x:c r="H239" s="107"/>
      <x:c r="I239" s="111"/>
      <x:c r="J239" s="107"/>
      <x:c r="K239" t="str">
        <x:f>IF(COUNTA(A239:J239)=0,"",IF(OR(A239="",B239="",D239="",G239="",H239=""),"Complete entry",IF(G239&lt;=0,"Check amount",IF(H239="Cancelled","Cancelled",IF(H239="Cleared",IF(I239="","Enter cash date","Cleared"),IF(H239="Bounced","Follow up bounced",IF(F239="","Enter expected date",IF(F239&lt;'Data &amp; Targets'!$C$10,"Overdue",IF(F239&lt;'Data &amp; Targets'!$C$10+30,"Due next 30 days","Pending")))))))))</x:f>
      </x:c>
    </x:row>
    <x:row r="240" ht="22" customHeight="1">
      <x:c r="A240" s="107"/>
      <x:c r="B240" s="107"/>
      <x:c r="C240" s="107"/>
      <x:c r="D240" s="107"/>
      <x:c r="E240" s="111"/>
      <x:c r="F240" s="111"/>
      <x:c r="G240" s="109"/>
      <x:c r="H240" s="107"/>
      <x:c r="I240" s="111"/>
      <x:c r="J240" s="107"/>
      <x:c r="K240" t="str">
        <x:f>IF(COUNTA(A240:J240)=0,"",IF(OR(A240="",B240="",D240="",G240="",H240=""),"Complete entry",IF(G240&lt;=0,"Check amount",IF(H240="Cancelled","Cancelled",IF(H240="Cleared",IF(I240="","Enter cash date","Cleared"),IF(H240="Bounced","Follow up bounced",IF(F240="","Enter expected date",IF(F240&lt;'Data &amp; Targets'!$C$10,"Overdue",IF(F240&lt;'Data &amp; Targets'!$C$10+30,"Due next 30 days","Pending")))))))))</x:f>
      </x:c>
    </x:row>
    <x:row r="241" ht="22" customHeight="1">
      <x:c r="A241" s="107"/>
      <x:c r="B241" s="107"/>
      <x:c r="C241" s="107"/>
      <x:c r="D241" s="107"/>
      <x:c r="E241" s="111"/>
      <x:c r="F241" s="111"/>
      <x:c r="G241" s="109"/>
      <x:c r="H241" s="107"/>
      <x:c r="I241" s="111"/>
      <x:c r="J241" s="107"/>
      <x:c r="K241" t="str">
        <x:f>IF(COUNTA(A241:J241)=0,"",IF(OR(A241="",B241="",D241="",G241="",H241=""),"Complete entry",IF(G241&lt;=0,"Check amount",IF(H241="Cancelled","Cancelled",IF(H241="Cleared",IF(I241="","Enter cash date","Cleared"),IF(H241="Bounced","Follow up bounced",IF(F241="","Enter expected date",IF(F241&lt;'Data &amp; Targets'!$C$10,"Overdue",IF(F241&lt;'Data &amp; Targets'!$C$10+30,"Due next 30 days","Pending")))))))))</x:f>
      </x:c>
    </x:row>
    <x:row r="242" ht="22" customHeight="1">
      <x:c r="A242" s="107"/>
      <x:c r="B242" s="107"/>
      <x:c r="C242" s="107"/>
      <x:c r="D242" s="107"/>
      <x:c r="E242" s="111"/>
      <x:c r="F242" s="111"/>
      <x:c r="G242" s="109"/>
      <x:c r="H242" s="107"/>
      <x:c r="I242" s="111"/>
      <x:c r="J242" s="107"/>
      <x:c r="K242" t="str">
        <x:f>IF(COUNTA(A242:J242)=0,"",IF(OR(A242="",B242="",D242="",G242="",H242=""),"Complete entry",IF(G242&lt;=0,"Check amount",IF(H242="Cancelled","Cancelled",IF(H242="Cleared",IF(I242="","Enter cash date","Cleared"),IF(H242="Bounced","Follow up bounced",IF(F242="","Enter expected date",IF(F242&lt;'Data &amp; Targets'!$C$10,"Overdue",IF(F242&lt;'Data &amp; Targets'!$C$10+30,"Due next 30 days","Pending")))))))))</x:f>
      </x:c>
    </x:row>
    <x:row r="243" ht="22" customHeight="1">
      <x:c r="A243" s="107"/>
      <x:c r="B243" s="107"/>
      <x:c r="C243" s="107"/>
      <x:c r="D243" s="107"/>
      <x:c r="E243" s="111"/>
      <x:c r="F243" s="111"/>
      <x:c r="G243" s="109"/>
      <x:c r="H243" s="107"/>
      <x:c r="I243" s="111"/>
      <x:c r="J243" s="107"/>
      <x:c r="K243" t="str">
        <x:f>IF(COUNTA(A243:J243)=0,"",IF(OR(A243="",B243="",D243="",G243="",H243=""),"Complete entry",IF(G243&lt;=0,"Check amount",IF(H243="Cancelled","Cancelled",IF(H243="Cleared",IF(I243="","Enter cash date","Cleared"),IF(H243="Bounced","Follow up bounced",IF(F243="","Enter expected date",IF(F243&lt;'Data &amp; Targets'!$C$10,"Overdue",IF(F243&lt;'Data &amp; Targets'!$C$10+30,"Due next 30 days","Pending")))))))))</x:f>
      </x:c>
    </x:row>
    <x:row r="244" ht="22" customHeight="1">
      <x:c r="A244" s="107"/>
      <x:c r="B244" s="107"/>
      <x:c r="C244" s="107"/>
      <x:c r="D244" s="107"/>
      <x:c r="E244" s="111"/>
      <x:c r="F244" s="111"/>
      <x:c r="G244" s="109"/>
      <x:c r="H244" s="107"/>
      <x:c r="I244" s="111"/>
      <x:c r="J244" s="107"/>
      <x:c r="K244" t="str">
        <x:f>IF(COUNTA(A244:J244)=0,"",IF(OR(A244="",B244="",D244="",G244="",H244=""),"Complete entry",IF(G244&lt;=0,"Check amount",IF(H244="Cancelled","Cancelled",IF(H244="Cleared",IF(I244="","Enter cash date","Cleared"),IF(H244="Bounced","Follow up bounced",IF(F244="","Enter expected date",IF(F244&lt;'Data &amp; Targets'!$C$10,"Overdue",IF(F244&lt;'Data &amp; Targets'!$C$10+30,"Due next 30 days","Pending")))))))))</x:f>
      </x:c>
    </x:row>
    <x:row r="245" ht="22" customHeight="1">
      <x:c r="A245" s="107"/>
      <x:c r="B245" s="107"/>
      <x:c r="C245" s="107"/>
      <x:c r="D245" s="107"/>
      <x:c r="E245" s="111"/>
      <x:c r="F245" s="111"/>
      <x:c r="G245" s="109"/>
      <x:c r="H245" s="107"/>
      <x:c r="I245" s="111"/>
      <x:c r="J245" s="107"/>
      <x:c r="K245" t="str">
        <x:f>IF(COUNTA(A245:J245)=0,"",IF(OR(A245="",B245="",D245="",G245="",H245=""),"Complete entry",IF(G245&lt;=0,"Check amount",IF(H245="Cancelled","Cancelled",IF(H245="Cleared",IF(I245="","Enter cash date","Cleared"),IF(H245="Bounced","Follow up bounced",IF(F245="","Enter expected date",IF(F245&lt;'Data &amp; Targets'!$C$10,"Overdue",IF(F245&lt;'Data &amp; Targets'!$C$10+30,"Due next 30 days","Pending")))))))))</x:f>
      </x:c>
    </x:row>
    <x:row r="246" ht="22" customHeight="1">
      <x:c r="A246" s="107"/>
      <x:c r="B246" s="107"/>
      <x:c r="C246" s="107"/>
      <x:c r="D246" s="107"/>
      <x:c r="E246" s="111"/>
      <x:c r="F246" s="111"/>
      <x:c r="G246" s="109"/>
      <x:c r="H246" s="107"/>
      <x:c r="I246" s="111"/>
      <x:c r="J246" s="107"/>
      <x:c r="K246" t="str">
        <x:f>IF(COUNTA(A246:J246)=0,"",IF(OR(A246="",B246="",D246="",G246="",H246=""),"Complete entry",IF(G246&lt;=0,"Check amount",IF(H246="Cancelled","Cancelled",IF(H246="Cleared",IF(I246="","Enter cash date","Cleared"),IF(H246="Bounced","Follow up bounced",IF(F246="","Enter expected date",IF(F246&lt;'Data &amp; Targets'!$C$10,"Overdue",IF(F246&lt;'Data &amp; Targets'!$C$10+30,"Due next 30 days","Pending")))))))))</x:f>
      </x:c>
    </x:row>
    <x:row r="247" ht="22" customHeight="1">
      <x:c r="A247" s="107"/>
      <x:c r="B247" s="107"/>
      <x:c r="C247" s="107"/>
      <x:c r="D247" s="107"/>
      <x:c r="E247" s="111"/>
      <x:c r="F247" s="111"/>
      <x:c r="G247" s="109"/>
      <x:c r="H247" s="107"/>
      <x:c r="I247" s="111"/>
      <x:c r="J247" s="107"/>
      <x:c r="K247" t="str">
        <x:f>IF(COUNTA(A247:J247)=0,"",IF(OR(A247="",B247="",D247="",G247="",H247=""),"Complete entry",IF(G247&lt;=0,"Check amount",IF(H247="Cancelled","Cancelled",IF(H247="Cleared",IF(I247="","Enter cash date","Cleared"),IF(H247="Bounced","Follow up bounced",IF(F247="","Enter expected date",IF(F247&lt;'Data &amp; Targets'!$C$10,"Overdue",IF(F247&lt;'Data &amp; Targets'!$C$10+30,"Due next 30 days","Pending")))))))))</x:f>
      </x:c>
    </x:row>
    <x:row r="248" ht="22" customHeight="1">
      <x:c r="A248" s="107"/>
      <x:c r="B248" s="107"/>
      <x:c r="C248" s="107"/>
      <x:c r="D248" s="107"/>
      <x:c r="E248" s="111"/>
      <x:c r="F248" s="111"/>
      <x:c r="G248" s="109"/>
      <x:c r="H248" s="107"/>
      <x:c r="I248" s="111"/>
      <x:c r="J248" s="107"/>
      <x:c r="K248" t="str">
        <x:f>IF(COUNTA(A248:J248)=0,"",IF(OR(A248="",B248="",D248="",G248="",H248=""),"Complete entry",IF(G248&lt;=0,"Check amount",IF(H248="Cancelled","Cancelled",IF(H248="Cleared",IF(I248="","Enter cash date","Cleared"),IF(H248="Bounced","Follow up bounced",IF(F248="","Enter expected date",IF(F248&lt;'Data &amp; Targets'!$C$10,"Overdue",IF(F248&lt;'Data &amp; Targets'!$C$10+30,"Due next 30 days","Pending")))))))))</x:f>
      </x:c>
    </x:row>
    <x:row r="249" ht="22" customHeight="1">
      <x:c r="A249" s="107"/>
      <x:c r="B249" s="107"/>
      <x:c r="C249" s="107"/>
      <x:c r="D249" s="107"/>
      <x:c r="E249" s="111"/>
      <x:c r="F249" s="111"/>
      <x:c r="G249" s="109"/>
      <x:c r="H249" s="107"/>
      <x:c r="I249" s="111"/>
      <x:c r="J249" s="107"/>
      <x:c r="K249" t="str">
        <x:f>IF(COUNTA(A249:J249)=0,"",IF(OR(A249="",B249="",D249="",G249="",H249=""),"Complete entry",IF(G249&lt;=0,"Check amount",IF(H249="Cancelled","Cancelled",IF(H249="Cleared",IF(I249="","Enter cash date","Cleared"),IF(H249="Bounced","Follow up bounced",IF(F249="","Enter expected date",IF(F249&lt;'Data &amp; Targets'!$C$10,"Overdue",IF(F249&lt;'Data &amp; Targets'!$C$10+30,"Due next 30 days","Pending")))))))))</x:f>
      </x:c>
    </x:row>
    <x:row r="250" ht="22" customHeight="1">
      <x:c r="A250" s="107"/>
      <x:c r="B250" s="107"/>
      <x:c r="C250" s="107"/>
      <x:c r="D250" s="107"/>
      <x:c r="E250" s="111"/>
      <x:c r="F250" s="111"/>
      <x:c r="G250" s="109"/>
      <x:c r="H250" s="107"/>
      <x:c r="I250" s="111"/>
      <x:c r="J250" s="107"/>
      <x:c r="K250" t="str">
        <x:f>IF(COUNTA(A250:J250)=0,"",IF(OR(A250="",B250="",D250="",G250="",H250=""),"Complete entry",IF(G250&lt;=0,"Check amount",IF(H250="Cancelled","Cancelled",IF(H250="Cleared",IF(I250="","Enter cash date","Cleared"),IF(H250="Bounced","Follow up bounced",IF(F250="","Enter expected date",IF(F250&lt;'Data &amp; Targets'!$C$10,"Overdue",IF(F250&lt;'Data &amp; Targets'!$C$10+30,"Due next 30 days","Pending")))))))))</x:f>
      </x:c>
    </x:row>
    <x:row r="251" ht="22" customHeight="1">
      <x:c r="A251" s="107"/>
      <x:c r="B251" s="107"/>
      <x:c r="C251" s="107"/>
      <x:c r="D251" s="107"/>
      <x:c r="E251" s="111"/>
      <x:c r="F251" s="111"/>
      <x:c r="G251" s="109"/>
      <x:c r="H251" s="107"/>
      <x:c r="I251" s="111"/>
      <x:c r="J251" s="107"/>
      <x:c r="K251" t="str">
        <x:f>IF(COUNTA(A251:J251)=0,"",IF(OR(A251="",B251="",D251="",G251="",H251=""),"Complete entry",IF(G251&lt;=0,"Check amount",IF(H251="Cancelled","Cancelled",IF(H251="Cleared",IF(I251="","Enter cash date","Cleared"),IF(H251="Bounced","Follow up bounced",IF(F251="","Enter expected date",IF(F251&lt;'Data &amp; Targets'!$C$10,"Overdue",IF(F251&lt;'Data &amp; Targets'!$C$10+30,"Due next 30 days","Pending")))))))))</x:f>
      </x:c>
    </x:row>
    <x:row r="252" ht="22" customHeight="1">
      <x:c r="A252" s="107"/>
      <x:c r="B252" s="107"/>
      <x:c r="C252" s="107"/>
      <x:c r="D252" s="107"/>
      <x:c r="E252" s="111"/>
      <x:c r="F252" s="111"/>
      <x:c r="G252" s="109"/>
      <x:c r="H252" s="107"/>
      <x:c r="I252" s="111"/>
      <x:c r="J252" s="107"/>
      <x:c r="K252" t="str">
        <x:f>IF(COUNTA(A252:J252)=0,"",IF(OR(A252="",B252="",D252="",G252="",H252=""),"Complete entry",IF(G252&lt;=0,"Check amount",IF(H252="Cancelled","Cancelled",IF(H252="Cleared",IF(I252="","Enter cash date","Cleared"),IF(H252="Bounced","Follow up bounced",IF(F252="","Enter expected date",IF(F252&lt;'Data &amp; Targets'!$C$10,"Overdue",IF(F252&lt;'Data &amp; Targets'!$C$10+30,"Due next 30 days","Pending")))))))))</x:f>
      </x:c>
    </x:row>
    <x:row r="253" ht="22" customHeight="1">
      <x:c r="A253" s="107"/>
      <x:c r="B253" s="107"/>
      <x:c r="C253" s="107"/>
      <x:c r="D253" s="107"/>
      <x:c r="E253" s="111"/>
      <x:c r="F253" s="111"/>
      <x:c r="G253" s="109"/>
      <x:c r="H253" s="107"/>
      <x:c r="I253" s="111"/>
      <x:c r="J253" s="107"/>
      <x:c r="K253" t="str">
        <x:f>IF(COUNTA(A253:J253)=0,"",IF(OR(A253="",B253="",D253="",G253="",H253=""),"Complete entry",IF(G253&lt;=0,"Check amount",IF(H253="Cancelled","Cancelled",IF(H253="Cleared",IF(I253="","Enter cash date","Cleared"),IF(H253="Bounced","Follow up bounced",IF(F253="","Enter expected date",IF(F253&lt;'Data &amp; Targets'!$C$10,"Overdue",IF(F253&lt;'Data &amp; Targets'!$C$10+30,"Due next 30 days","Pending")))))))))</x:f>
      </x:c>
    </x:row>
    <x:row r="254" ht="22" customHeight="1">
      <x:c r="A254" s="107"/>
      <x:c r="B254" s="107"/>
      <x:c r="C254" s="107"/>
      <x:c r="D254" s="107"/>
      <x:c r="E254" s="111"/>
      <x:c r="F254" s="111"/>
      <x:c r="G254" s="109"/>
      <x:c r="H254" s="107"/>
      <x:c r="I254" s="111"/>
      <x:c r="J254" s="107"/>
      <x:c r="K254" t="str">
        <x:f>IF(COUNTA(A254:J254)=0,"",IF(OR(A254="",B254="",D254="",G254="",H254=""),"Complete entry",IF(G254&lt;=0,"Check amount",IF(H254="Cancelled","Cancelled",IF(H254="Cleared",IF(I254="","Enter cash date","Cleared"),IF(H254="Bounced","Follow up bounced",IF(F254="","Enter expected date",IF(F254&lt;'Data &amp; Targets'!$C$10,"Overdue",IF(F254&lt;'Data &amp; Targets'!$C$10+30,"Due next 30 days","Pending")))))))))</x:f>
      </x:c>
    </x:row>
    <x:row r="255" ht="22" customHeight="1">
      <x:c r="A255" s="107"/>
      <x:c r="B255" s="107"/>
      <x:c r="C255" s="107"/>
      <x:c r="D255" s="107"/>
      <x:c r="E255" s="111"/>
      <x:c r="F255" s="111"/>
      <x:c r="G255" s="109"/>
      <x:c r="H255" s="107"/>
      <x:c r="I255" s="111"/>
      <x:c r="J255" s="107"/>
      <x:c r="K255" t="str">
        <x:f>IF(COUNTA(A255:J255)=0,"",IF(OR(A255="",B255="",D255="",G255="",H255=""),"Complete entry",IF(G255&lt;=0,"Check amount",IF(H255="Cancelled","Cancelled",IF(H255="Cleared",IF(I255="","Enter cash date","Cleared"),IF(H255="Bounced","Follow up bounced",IF(F255="","Enter expected date",IF(F255&lt;'Data &amp; Targets'!$C$10,"Overdue",IF(F255&lt;'Data &amp; Targets'!$C$10+30,"Due next 30 days","Pending")))))))))</x:f>
      </x:c>
    </x:row>
    <x:row r="256" ht="22" customHeight="1">
      <x:c r="A256" s="107"/>
      <x:c r="B256" s="107"/>
      <x:c r="C256" s="107"/>
      <x:c r="D256" s="107"/>
      <x:c r="E256" s="111"/>
      <x:c r="F256" s="111"/>
      <x:c r="G256" s="109"/>
      <x:c r="H256" s="107"/>
      <x:c r="I256" s="111"/>
      <x:c r="J256" s="107"/>
      <x:c r="K256" t="str">
        <x:f>IF(COUNTA(A256:J256)=0,"",IF(OR(A256="",B256="",D256="",G256="",H256=""),"Complete entry",IF(G256&lt;=0,"Check amount",IF(H256="Cancelled","Cancelled",IF(H256="Cleared",IF(I256="","Enter cash date","Cleared"),IF(H256="Bounced","Follow up bounced",IF(F256="","Enter expected date",IF(F256&lt;'Data &amp; Targets'!$C$10,"Overdue",IF(F256&lt;'Data &amp; Targets'!$C$10+30,"Due next 30 days","Pending")))))))))</x:f>
      </x:c>
    </x:row>
    <x:row r="257" ht="22" customHeight="1">
      <x:c r="A257" s="107"/>
      <x:c r="B257" s="107"/>
      <x:c r="C257" s="107"/>
      <x:c r="D257" s="107"/>
      <x:c r="E257" s="111"/>
      <x:c r="F257" s="111"/>
      <x:c r="G257" s="109"/>
      <x:c r="H257" s="107"/>
      <x:c r="I257" s="111"/>
      <x:c r="J257" s="107"/>
      <x:c r="K257" t="str">
        <x:f>IF(COUNTA(A257:J257)=0,"",IF(OR(A257="",B257="",D257="",G257="",H257=""),"Complete entry",IF(G257&lt;=0,"Check amount",IF(H257="Cancelled","Cancelled",IF(H257="Cleared",IF(I257="","Enter cash date","Cleared"),IF(H257="Bounced","Follow up bounced",IF(F257="","Enter expected date",IF(F257&lt;'Data &amp; Targets'!$C$10,"Overdue",IF(F257&lt;'Data &amp; Targets'!$C$10+30,"Due next 30 days","Pending")))))))))</x:f>
      </x:c>
    </x:row>
    <x:row r="258" ht="22" customHeight="1">
      <x:c r="A258" s="107"/>
      <x:c r="B258" s="107"/>
      <x:c r="C258" s="107"/>
      <x:c r="D258" s="107"/>
      <x:c r="E258" s="111"/>
      <x:c r="F258" s="111"/>
      <x:c r="G258" s="109"/>
      <x:c r="H258" s="107"/>
      <x:c r="I258" s="111"/>
      <x:c r="J258" s="107"/>
      <x:c r="K258" t="str">
        <x:f>IF(COUNTA(A258:J258)=0,"",IF(OR(A258="",B258="",D258="",G258="",H258=""),"Complete entry",IF(G258&lt;=0,"Check amount",IF(H258="Cancelled","Cancelled",IF(H258="Cleared",IF(I258="","Enter cash date","Cleared"),IF(H258="Bounced","Follow up bounced",IF(F258="","Enter expected date",IF(F258&lt;'Data &amp; Targets'!$C$10,"Overdue",IF(F258&lt;'Data &amp; Targets'!$C$10+30,"Due next 30 days","Pending")))))))))</x:f>
      </x:c>
    </x:row>
    <x:row r="259" ht="22" customHeight="1">
      <x:c r="A259" s="107"/>
      <x:c r="B259" s="107"/>
      <x:c r="C259" s="107"/>
      <x:c r="D259" s="107"/>
      <x:c r="E259" s="111"/>
      <x:c r="F259" s="111"/>
      <x:c r="G259" s="109"/>
      <x:c r="H259" s="107"/>
      <x:c r="I259" s="111"/>
      <x:c r="J259" s="107"/>
      <x:c r="K259" t="str">
        <x:f>IF(COUNTA(A259:J259)=0,"",IF(OR(A259="",B259="",D259="",G259="",H259=""),"Complete entry",IF(G259&lt;=0,"Check amount",IF(H259="Cancelled","Cancelled",IF(H259="Cleared",IF(I259="","Enter cash date","Cleared"),IF(H259="Bounced","Follow up bounced",IF(F259="","Enter expected date",IF(F259&lt;'Data &amp; Targets'!$C$10,"Overdue",IF(F259&lt;'Data &amp; Targets'!$C$10+30,"Due next 30 days","Pending")))))))))</x:f>
      </x:c>
    </x:row>
    <x:row r="260" ht="22" customHeight="1">
      <x:c r="A260" s="107"/>
      <x:c r="B260" s="107"/>
      <x:c r="C260" s="107"/>
      <x:c r="D260" s="107"/>
      <x:c r="E260" s="111"/>
      <x:c r="F260" s="111"/>
      <x:c r="G260" s="109"/>
      <x:c r="H260" s="107"/>
      <x:c r="I260" s="111"/>
      <x:c r="J260" s="107"/>
      <x:c r="K260" t="str">
        <x:f>IF(COUNTA(A260:J260)=0,"",IF(OR(A260="",B260="",D260="",G260="",H260=""),"Complete entry",IF(G260&lt;=0,"Check amount",IF(H260="Cancelled","Cancelled",IF(H260="Cleared",IF(I260="","Enter cash date","Cleared"),IF(H260="Bounced","Follow up bounced",IF(F260="","Enter expected date",IF(F260&lt;'Data &amp; Targets'!$C$10,"Overdue",IF(F260&lt;'Data &amp; Targets'!$C$10+30,"Due next 30 days","Pending")))))))))</x:f>
      </x:c>
    </x:row>
    <x:row r="261" ht="22" customHeight="1">
      <x:c r="A261" s="107"/>
      <x:c r="B261" s="107"/>
      <x:c r="C261" s="107"/>
      <x:c r="D261" s="107"/>
      <x:c r="E261" s="111"/>
      <x:c r="F261" s="111"/>
      <x:c r="G261" s="109"/>
      <x:c r="H261" s="107"/>
      <x:c r="I261" s="111"/>
      <x:c r="J261" s="107"/>
      <x:c r="K261" t="str">
        <x:f>IF(COUNTA(A261:J261)=0,"",IF(OR(A261="",B261="",D261="",G261="",H261=""),"Complete entry",IF(G261&lt;=0,"Check amount",IF(H261="Cancelled","Cancelled",IF(H261="Cleared",IF(I261="","Enter cash date","Cleared"),IF(H261="Bounced","Follow up bounced",IF(F261="","Enter expected date",IF(F261&lt;'Data &amp; Targets'!$C$10,"Overdue",IF(F261&lt;'Data &amp; Targets'!$C$10+30,"Due next 30 days","Pending")))))))))</x:f>
      </x:c>
    </x:row>
    <x:row r="262" ht="22" customHeight="1">
      <x:c r="A262" s="107"/>
      <x:c r="B262" s="107"/>
      <x:c r="C262" s="107"/>
      <x:c r="D262" s="107"/>
      <x:c r="E262" s="111"/>
      <x:c r="F262" s="111"/>
      <x:c r="G262" s="109"/>
      <x:c r="H262" s="107"/>
      <x:c r="I262" s="111"/>
      <x:c r="J262" s="107"/>
      <x:c r="K262" t="str">
        <x:f>IF(COUNTA(A262:J262)=0,"",IF(OR(A262="",B262="",D262="",G262="",H262=""),"Complete entry",IF(G262&lt;=0,"Check amount",IF(H262="Cancelled","Cancelled",IF(H262="Cleared",IF(I262="","Enter cash date","Cleared"),IF(H262="Bounced","Follow up bounced",IF(F262="","Enter expected date",IF(F262&lt;'Data &amp; Targets'!$C$10,"Overdue",IF(F262&lt;'Data &amp; Targets'!$C$10+30,"Due next 30 days","Pending")))))))))</x:f>
      </x:c>
    </x:row>
    <x:row r="263" ht="22" customHeight="1">
      <x:c r="A263" s="107"/>
      <x:c r="B263" s="107"/>
      <x:c r="C263" s="107"/>
      <x:c r="D263" s="107"/>
      <x:c r="E263" s="111"/>
      <x:c r="F263" s="111"/>
      <x:c r="G263" s="109"/>
      <x:c r="H263" s="107"/>
      <x:c r="I263" s="111"/>
      <x:c r="J263" s="107"/>
      <x:c r="K263" t="str">
        <x:f>IF(COUNTA(A263:J263)=0,"",IF(OR(A263="",B263="",D263="",G263="",H263=""),"Complete entry",IF(G263&lt;=0,"Check amount",IF(H263="Cancelled","Cancelled",IF(H263="Cleared",IF(I263="","Enter cash date","Cleared"),IF(H263="Bounced","Follow up bounced",IF(F263="","Enter expected date",IF(F263&lt;'Data &amp; Targets'!$C$10,"Overdue",IF(F263&lt;'Data &amp; Targets'!$C$10+30,"Due next 30 days","Pending")))))))))</x:f>
      </x:c>
    </x:row>
    <x:row r="264" ht="22" customHeight="1">
      <x:c r="A264" s="107"/>
      <x:c r="B264" s="107"/>
      <x:c r="C264" s="107"/>
      <x:c r="D264" s="107"/>
      <x:c r="E264" s="111"/>
      <x:c r="F264" s="111"/>
      <x:c r="G264" s="109"/>
      <x:c r="H264" s="107"/>
      <x:c r="I264" s="111"/>
      <x:c r="J264" s="107"/>
      <x:c r="K264" t="str">
        <x:f>IF(COUNTA(A264:J264)=0,"",IF(OR(A264="",B264="",D264="",G264="",H264=""),"Complete entry",IF(G264&lt;=0,"Check amount",IF(H264="Cancelled","Cancelled",IF(H264="Cleared",IF(I264="","Enter cash date","Cleared"),IF(H264="Bounced","Follow up bounced",IF(F264="","Enter expected date",IF(F264&lt;'Data &amp; Targets'!$C$10,"Overdue",IF(F264&lt;'Data &amp; Targets'!$C$10+30,"Due next 30 days","Pending")))))))))</x:f>
      </x:c>
    </x:row>
    <x:row r="265" ht="22" customHeight="1">
      <x:c r="A265" s="107"/>
      <x:c r="B265" s="107"/>
      <x:c r="C265" s="107"/>
      <x:c r="D265" s="107"/>
      <x:c r="E265" s="111"/>
      <x:c r="F265" s="111"/>
      <x:c r="G265" s="109"/>
      <x:c r="H265" s="107"/>
      <x:c r="I265" s="111"/>
      <x:c r="J265" s="107"/>
      <x:c r="K265" t="str">
        <x:f>IF(COUNTA(A265:J265)=0,"",IF(OR(A265="",B265="",D265="",G265="",H265=""),"Complete entry",IF(G265&lt;=0,"Check amount",IF(H265="Cancelled","Cancelled",IF(H265="Cleared",IF(I265="","Enter cash date","Cleared"),IF(H265="Bounced","Follow up bounced",IF(F265="","Enter expected date",IF(F265&lt;'Data &amp; Targets'!$C$10,"Overdue",IF(F265&lt;'Data &amp; Targets'!$C$10+30,"Due next 30 days","Pending")))))))))</x:f>
      </x:c>
    </x:row>
    <x:row r="266" ht="22" customHeight="1">
      <x:c r="A266" s="107"/>
      <x:c r="B266" s="107"/>
      <x:c r="C266" s="107"/>
      <x:c r="D266" s="107"/>
      <x:c r="E266" s="111"/>
      <x:c r="F266" s="111"/>
      <x:c r="G266" s="109"/>
      <x:c r="H266" s="107"/>
      <x:c r="I266" s="111"/>
      <x:c r="J266" s="107"/>
      <x:c r="K266" t="str">
        <x:f>IF(COUNTA(A266:J266)=0,"",IF(OR(A266="",B266="",D266="",G266="",H266=""),"Complete entry",IF(G266&lt;=0,"Check amount",IF(H266="Cancelled","Cancelled",IF(H266="Cleared",IF(I266="","Enter cash date","Cleared"),IF(H266="Bounced","Follow up bounced",IF(F266="","Enter expected date",IF(F266&lt;'Data &amp; Targets'!$C$10,"Overdue",IF(F266&lt;'Data &amp; Targets'!$C$10+30,"Due next 30 days","Pending")))))))))</x:f>
      </x:c>
    </x:row>
    <x:row r="267" ht="22" customHeight="1">
      <x:c r="A267" s="107"/>
      <x:c r="B267" s="107"/>
      <x:c r="C267" s="107"/>
      <x:c r="D267" s="107"/>
      <x:c r="E267" s="111"/>
      <x:c r="F267" s="111"/>
      <x:c r="G267" s="109"/>
      <x:c r="H267" s="107"/>
      <x:c r="I267" s="111"/>
      <x:c r="J267" s="107"/>
      <x:c r="K267" t="str">
        <x:f>IF(COUNTA(A267:J267)=0,"",IF(OR(A267="",B267="",D267="",G267="",H267=""),"Complete entry",IF(G267&lt;=0,"Check amount",IF(H267="Cancelled","Cancelled",IF(H267="Cleared",IF(I267="","Enter cash date","Cleared"),IF(H267="Bounced","Follow up bounced",IF(F267="","Enter expected date",IF(F267&lt;'Data &amp; Targets'!$C$10,"Overdue",IF(F267&lt;'Data &amp; Targets'!$C$10+30,"Due next 30 days","Pending")))))))))</x:f>
      </x:c>
    </x:row>
    <x:row r="268" ht="22" customHeight="1">
      <x:c r="A268" s="107"/>
      <x:c r="B268" s="107"/>
      <x:c r="C268" s="107"/>
      <x:c r="D268" s="107"/>
      <x:c r="E268" s="111"/>
      <x:c r="F268" s="111"/>
      <x:c r="G268" s="109"/>
      <x:c r="H268" s="107"/>
      <x:c r="I268" s="111"/>
      <x:c r="J268" s="107"/>
      <x:c r="K268" t="str">
        <x:f>IF(COUNTA(A268:J268)=0,"",IF(OR(A268="",B268="",D268="",G268="",H268=""),"Complete entry",IF(G268&lt;=0,"Check amount",IF(H268="Cancelled","Cancelled",IF(H268="Cleared",IF(I268="","Enter cash date","Cleared"),IF(H268="Bounced","Follow up bounced",IF(F268="","Enter expected date",IF(F268&lt;'Data &amp; Targets'!$C$10,"Overdue",IF(F268&lt;'Data &amp; Targets'!$C$10+30,"Due next 30 days","Pending")))))))))</x:f>
      </x:c>
    </x:row>
    <x:row r="269" ht="22" customHeight="1">
      <x:c r="A269" s="107"/>
      <x:c r="B269" s="107"/>
      <x:c r="C269" s="107"/>
      <x:c r="D269" s="107"/>
      <x:c r="E269" s="111"/>
      <x:c r="F269" s="111"/>
      <x:c r="G269" s="109"/>
      <x:c r="H269" s="107"/>
      <x:c r="I269" s="111"/>
      <x:c r="J269" s="107"/>
      <x:c r="K269" t="str">
        <x:f>IF(COUNTA(A269:J269)=0,"",IF(OR(A269="",B269="",D269="",G269="",H269=""),"Complete entry",IF(G269&lt;=0,"Check amount",IF(H269="Cancelled","Cancelled",IF(H269="Cleared",IF(I269="","Enter cash date","Cleared"),IF(H269="Bounced","Follow up bounced",IF(F269="","Enter expected date",IF(F269&lt;'Data &amp; Targets'!$C$10,"Overdue",IF(F269&lt;'Data &amp; Targets'!$C$10+30,"Due next 30 days","Pending")))))))))</x:f>
      </x:c>
    </x:row>
    <x:row r="270" ht="22" customHeight="1">
      <x:c r="A270" s="107"/>
      <x:c r="B270" s="107"/>
      <x:c r="C270" s="107"/>
      <x:c r="D270" s="107"/>
      <x:c r="E270" s="111"/>
      <x:c r="F270" s="111"/>
      <x:c r="G270" s="109"/>
      <x:c r="H270" s="107"/>
      <x:c r="I270" s="111"/>
      <x:c r="J270" s="107"/>
      <x:c r="K270" t="str">
        <x:f>IF(COUNTA(A270:J270)=0,"",IF(OR(A270="",B270="",D270="",G270="",H270=""),"Complete entry",IF(G270&lt;=0,"Check amount",IF(H270="Cancelled","Cancelled",IF(H270="Cleared",IF(I270="","Enter cash date","Cleared"),IF(H270="Bounced","Follow up bounced",IF(F270="","Enter expected date",IF(F270&lt;'Data &amp; Targets'!$C$10,"Overdue",IF(F270&lt;'Data &amp; Targets'!$C$10+30,"Due next 30 days","Pending")))))))))</x:f>
      </x:c>
    </x:row>
    <x:row r="271" ht="22" customHeight="1">
      <x:c r="A271" s="107"/>
      <x:c r="B271" s="107"/>
      <x:c r="C271" s="107"/>
      <x:c r="D271" s="107"/>
      <x:c r="E271" s="111"/>
      <x:c r="F271" s="111"/>
      <x:c r="G271" s="109"/>
      <x:c r="H271" s="107"/>
      <x:c r="I271" s="111"/>
      <x:c r="J271" s="107"/>
      <x:c r="K271" t="str">
        <x:f>IF(COUNTA(A271:J271)=0,"",IF(OR(A271="",B271="",D271="",G271="",H271=""),"Complete entry",IF(G271&lt;=0,"Check amount",IF(H271="Cancelled","Cancelled",IF(H271="Cleared",IF(I271="","Enter cash date","Cleared"),IF(H271="Bounced","Follow up bounced",IF(F271="","Enter expected date",IF(F271&lt;'Data &amp; Targets'!$C$10,"Overdue",IF(F271&lt;'Data &amp; Targets'!$C$10+30,"Due next 30 days","Pending")))))))))</x:f>
      </x:c>
    </x:row>
    <x:row r="272" ht="22" customHeight="1">
      <x:c r="A272" s="107"/>
      <x:c r="B272" s="107"/>
      <x:c r="C272" s="107"/>
      <x:c r="D272" s="107"/>
      <x:c r="E272" s="111"/>
      <x:c r="F272" s="111"/>
      <x:c r="G272" s="109"/>
      <x:c r="H272" s="107"/>
      <x:c r="I272" s="111"/>
      <x:c r="J272" s="107"/>
      <x:c r="K272" t="str">
        <x:f>IF(COUNTA(A272:J272)=0,"",IF(OR(A272="",B272="",D272="",G272="",H272=""),"Complete entry",IF(G272&lt;=0,"Check amount",IF(H272="Cancelled","Cancelled",IF(H272="Cleared",IF(I272="","Enter cash date","Cleared"),IF(H272="Bounced","Follow up bounced",IF(F272="","Enter expected date",IF(F272&lt;'Data &amp; Targets'!$C$10,"Overdue",IF(F272&lt;'Data &amp; Targets'!$C$10+30,"Due next 30 days","Pending")))))))))</x:f>
      </x:c>
    </x:row>
    <x:row r="273" ht="22" customHeight="1">
      <x:c r="A273" s="107"/>
      <x:c r="B273" s="107"/>
      <x:c r="C273" s="107"/>
      <x:c r="D273" s="107"/>
      <x:c r="E273" s="111"/>
      <x:c r="F273" s="111"/>
      <x:c r="G273" s="109"/>
      <x:c r="H273" s="107"/>
      <x:c r="I273" s="111"/>
      <x:c r="J273" s="107"/>
      <x:c r="K273" t="str">
        <x:f>IF(COUNTA(A273:J273)=0,"",IF(OR(A273="",B273="",D273="",G273="",H273=""),"Complete entry",IF(G273&lt;=0,"Check amount",IF(H273="Cancelled","Cancelled",IF(H273="Cleared",IF(I273="","Enter cash date","Cleared"),IF(H273="Bounced","Follow up bounced",IF(F273="","Enter expected date",IF(F273&lt;'Data &amp; Targets'!$C$10,"Overdue",IF(F273&lt;'Data &amp; Targets'!$C$10+30,"Due next 30 days","Pending")))))))))</x:f>
      </x:c>
    </x:row>
    <x:row r="274" ht="22" customHeight="1">
      <x:c r="A274" s="107"/>
      <x:c r="B274" s="107"/>
      <x:c r="C274" s="107"/>
      <x:c r="D274" s="107"/>
      <x:c r="E274" s="111"/>
      <x:c r="F274" s="111"/>
      <x:c r="G274" s="109"/>
      <x:c r="H274" s="107"/>
      <x:c r="I274" s="111"/>
      <x:c r="J274" s="107"/>
      <x:c r="K274" t="str">
        <x:f>IF(COUNTA(A274:J274)=0,"",IF(OR(A274="",B274="",D274="",G274="",H274=""),"Complete entry",IF(G274&lt;=0,"Check amount",IF(H274="Cancelled","Cancelled",IF(H274="Cleared",IF(I274="","Enter cash date","Cleared"),IF(H274="Bounced","Follow up bounced",IF(F274="","Enter expected date",IF(F274&lt;'Data &amp; Targets'!$C$10,"Overdue",IF(F274&lt;'Data &amp; Targets'!$C$10+30,"Due next 30 days","Pending")))))))))</x:f>
      </x:c>
    </x:row>
    <x:row r="275" ht="22" customHeight="1">
      <x:c r="A275" s="107"/>
      <x:c r="B275" s="107"/>
      <x:c r="C275" s="107"/>
      <x:c r="D275" s="107"/>
      <x:c r="E275" s="111"/>
      <x:c r="F275" s="111"/>
      <x:c r="G275" s="109"/>
      <x:c r="H275" s="107"/>
      <x:c r="I275" s="111"/>
      <x:c r="J275" s="107"/>
      <x:c r="K275" t="str">
        <x:f>IF(COUNTA(A275:J275)=0,"",IF(OR(A275="",B275="",D275="",G275="",H275=""),"Complete entry",IF(G275&lt;=0,"Check amount",IF(H275="Cancelled","Cancelled",IF(H275="Cleared",IF(I275="","Enter cash date","Cleared"),IF(H275="Bounced","Follow up bounced",IF(F275="","Enter expected date",IF(F275&lt;'Data &amp; Targets'!$C$10,"Overdue",IF(F275&lt;'Data &amp; Targets'!$C$10+30,"Due next 30 days","Pending")))))))))</x:f>
      </x:c>
    </x:row>
    <x:row r="276" ht="22" customHeight="1">
      <x:c r="A276" s="107"/>
      <x:c r="B276" s="107"/>
      <x:c r="C276" s="107"/>
      <x:c r="D276" s="107"/>
      <x:c r="E276" s="111"/>
      <x:c r="F276" s="111"/>
      <x:c r="G276" s="109"/>
      <x:c r="H276" s="107"/>
      <x:c r="I276" s="111"/>
      <x:c r="J276" s="107"/>
      <x:c r="K276" t="str">
        <x:f>IF(COUNTA(A276:J276)=0,"",IF(OR(A276="",B276="",D276="",G276="",H276=""),"Complete entry",IF(G276&lt;=0,"Check amount",IF(H276="Cancelled","Cancelled",IF(H276="Cleared",IF(I276="","Enter cash date","Cleared"),IF(H276="Bounced","Follow up bounced",IF(F276="","Enter expected date",IF(F276&lt;'Data &amp; Targets'!$C$10,"Overdue",IF(F276&lt;'Data &amp; Targets'!$C$10+30,"Due next 30 days","Pending")))))))))</x:f>
      </x:c>
    </x:row>
    <x:row r="277" ht="22" customHeight="1">
      <x:c r="A277" s="107"/>
      <x:c r="B277" s="107"/>
      <x:c r="C277" s="107"/>
      <x:c r="D277" s="107"/>
      <x:c r="E277" s="111"/>
      <x:c r="F277" s="111"/>
      <x:c r="G277" s="109"/>
      <x:c r="H277" s="107"/>
      <x:c r="I277" s="111"/>
      <x:c r="J277" s="107"/>
      <x:c r="K277" t="str">
        <x:f>IF(COUNTA(A277:J277)=0,"",IF(OR(A277="",B277="",D277="",G277="",H277=""),"Complete entry",IF(G277&lt;=0,"Check amount",IF(H277="Cancelled","Cancelled",IF(H277="Cleared",IF(I277="","Enter cash date","Cleared"),IF(H277="Bounced","Follow up bounced",IF(F277="","Enter expected date",IF(F277&lt;'Data &amp; Targets'!$C$10,"Overdue",IF(F277&lt;'Data &amp; Targets'!$C$10+30,"Due next 30 days","Pending")))))))))</x:f>
      </x:c>
    </x:row>
    <x:row r="278" ht="22" customHeight="1">
      <x:c r="A278" s="107"/>
      <x:c r="B278" s="107"/>
      <x:c r="C278" s="107"/>
      <x:c r="D278" s="107"/>
      <x:c r="E278" s="111"/>
      <x:c r="F278" s="111"/>
      <x:c r="G278" s="109"/>
      <x:c r="H278" s="107"/>
      <x:c r="I278" s="111"/>
      <x:c r="J278" s="107"/>
      <x:c r="K278" t="str">
        <x:f>IF(COUNTA(A278:J278)=0,"",IF(OR(A278="",B278="",D278="",G278="",H278=""),"Complete entry",IF(G278&lt;=0,"Check amount",IF(H278="Cancelled","Cancelled",IF(H278="Cleared",IF(I278="","Enter cash date","Cleared"),IF(H278="Bounced","Follow up bounced",IF(F278="","Enter expected date",IF(F278&lt;'Data &amp; Targets'!$C$10,"Overdue",IF(F278&lt;'Data &amp; Targets'!$C$10+30,"Due next 30 days","Pending")))))))))</x:f>
      </x:c>
    </x:row>
    <x:row r="279" ht="22" customHeight="1">
      <x:c r="A279" s="107"/>
      <x:c r="B279" s="107"/>
      <x:c r="C279" s="107"/>
      <x:c r="D279" s="107"/>
      <x:c r="E279" s="111"/>
      <x:c r="F279" s="111"/>
      <x:c r="G279" s="109"/>
      <x:c r="H279" s="107"/>
      <x:c r="I279" s="111"/>
      <x:c r="J279" s="107"/>
      <x:c r="K279" t="str">
        <x:f>IF(COUNTA(A279:J279)=0,"",IF(OR(A279="",B279="",D279="",G279="",H279=""),"Complete entry",IF(G279&lt;=0,"Check amount",IF(H279="Cancelled","Cancelled",IF(H279="Cleared",IF(I279="","Enter cash date","Cleared"),IF(H279="Bounced","Follow up bounced",IF(F279="","Enter expected date",IF(F279&lt;'Data &amp; Targets'!$C$10,"Overdue",IF(F279&lt;'Data &amp; Targets'!$C$10+30,"Due next 30 days","Pending")))))))))</x:f>
      </x:c>
    </x:row>
    <x:row r="280" ht="22" customHeight="1">
      <x:c r="A280" s="107"/>
      <x:c r="B280" s="107"/>
      <x:c r="C280" s="107"/>
      <x:c r="D280" s="107"/>
      <x:c r="E280" s="111"/>
      <x:c r="F280" s="111"/>
      <x:c r="G280" s="109"/>
      <x:c r="H280" s="107"/>
      <x:c r="I280" s="111"/>
      <x:c r="J280" s="107"/>
      <x:c r="K280" t="str">
        <x:f>IF(COUNTA(A280:J280)=0,"",IF(OR(A280="",B280="",D280="",G280="",H280=""),"Complete entry",IF(G280&lt;=0,"Check amount",IF(H280="Cancelled","Cancelled",IF(H280="Cleared",IF(I280="","Enter cash date","Cleared"),IF(H280="Bounced","Follow up bounced",IF(F280="","Enter expected date",IF(F280&lt;'Data &amp; Targets'!$C$10,"Overdue",IF(F280&lt;'Data &amp; Targets'!$C$10+30,"Due next 30 days","Pending")))))))))</x:f>
      </x:c>
    </x:row>
    <x:row r="281" ht="22" customHeight="1">
      <x:c r="A281" s="107"/>
      <x:c r="B281" s="107"/>
      <x:c r="C281" s="107"/>
      <x:c r="D281" s="107"/>
      <x:c r="E281" s="111"/>
      <x:c r="F281" s="111"/>
      <x:c r="G281" s="109"/>
      <x:c r="H281" s="107"/>
      <x:c r="I281" s="111"/>
      <x:c r="J281" s="107"/>
      <x:c r="K281" t="str">
        <x:f>IF(COUNTA(A281:J281)=0,"",IF(OR(A281="",B281="",D281="",G281="",H281=""),"Complete entry",IF(G281&lt;=0,"Check amount",IF(H281="Cancelled","Cancelled",IF(H281="Cleared",IF(I281="","Enter cash date","Cleared"),IF(H281="Bounced","Follow up bounced",IF(F281="","Enter expected date",IF(F281&lt;'Data &amp; Targets'!$C$10,"Overdue",IF(F281&lt;'Data &amp; Targets'!$C$10+30,"Due next 30 days","Pending")))))))))</x:f>
      </x:c>
    </x:row>
    <x:row r="282" ht="22" customHeight="1">
      <x:c r="A282" s="107"/>
      <x:c r="B282" s="107"/>
      <x:c r="C282" s="107"/>
      <x:c r="D282" s="107"/>
      <x:c r="E282" s="111"/>
      <x:c r="F282" s="111"/>
      <x:c r="G282" s="109"/>
      <x:c r="H282" s="107"/>
      <x:c r="I282" s="111"/>
      <x:c r="J282" s="107"/>
      <x:c r="K282" t="str">
        <x:f>IF(COUNTA(A282:J282)=0,"",IF(OR(A282="",B282="",D282="",G282="",H282=""),"Complete entry",IF(G282&lt;=0,"Check amount",IF(H282="Cancelled","Cancelled",IF(H282="Cleared",IF(I282="","Enter cash date","Cleared"),IF(H282="Bounced","Follow up bounced",IF(F282="","Enter expected date",IF(F282&lt;'Data &amp; Targets'!$C$10,"Overdue",IF(F282&lt;'Data &amp; Targets'!$C$10+30,"Due next 30 days","Pending")))))))))</x:f>
      </x:c>
    </x:row>
    <x:row r="283" ht="22" customHeight="1">
      <x:c r="A283" s="107"/>
      <x:c r="B283" s="107"/>
      <x:c r="C283" s="107"/>
      <x:c r="D283" s="107"/>
      <x:c r="E283" s="111"/>
      <x:c r="F283" s="111"/>
      <x:c r="G283" s="109"/>
      <x:c r="H283" s="107"/>
      <x:c r="I283" s="111"/>
      <x:c r="J283" s="107"/>
      <x:c r="K283" t="str">
        <x:f>IF(COUNTA(A283:J283)=0,"",IF(OR(A283="",B283="",D283="",G283="",H283=""),"Complete entry",IF(G283&lt;=0,"Check amount",IF(H283="Cancelled","Cancelled",IF(H283="Cleared",IF(I283="","Enter cash date","Cleared"),IF(H283="Bounced","Follow up bounced",IF(F283="","Enter expected date",IF(F283&lt;'Data &amp; Targets'!$C$10,"Overdue",IF(F283&lt;'Data &amp; Targets'!$C$10+30,"Due next 30 days","Pending")))))))))</x:f>
      </x:c>
    </x:row>
    <x:row r="284" ht="22" customHeight="1">
      <x:c r="A284" s="107"/>
      <x:c r="B284" s="107"/>
      <x:c r="C284" s="107"/>
      <x:c r="D284" s="107"/>
      <x:c r="E284" s="111"/>
      <x:c r="F284" s="111"/>
      <x:c r="G284" s="109"/>
      <x:c r="H284" s="107"/>
      <x:c r="I284" s="111"/>
      <x:c r="J284" s="107"/>
      <x:c r="K284" t="str">
        <x:f>IF(COUNTA(A284:J284)=0,"",IF(OR(A284="",B284="",D284="",G284="",H284=""),"Complete entry",IF(G284&lt;=0,"Check amount",IF(H284="Cancelled","Cancelled",IF(H284="Cleared",IF(I284="","Enter cash date","Cleared"),IF(H284="Bounced","Follow up bounced",IF(F284="","Enter expected date",IF(F284&lt;'Data &amp; Targets'!$C$10,"Overdue",IF(F284&lt;'Data &amp; Targets'!$C$10+30,"Due next 30 days","Pending")))))))))</x:f>
      </x:c>
    </x:row>
    <x:row r="285" ht="22" customHeight="1">
      <x:c r="A285" s="107"/>
      <x:c r="B285" s="107"/>
      <x:c r="C285" s="107"/>
      <x:c r="D285" s="107"/>
      <x:c r="E285" s="111"/>
      <x:c r="F285" s="111"/>
      <x:c r="G285" s="109"/>
      <x:c r="H285" s="107"/>
      <x:c r="I285" s="111"/>
      <x:c r="J285" s="107"/>
      <x:c r="K285" t="str">
        <x:f>IF(COUNTA(A285:J285)=0,"",IF(OR(A285="",B285="",D285="",G285="",H285=""),"Complete entry",IF(G285&lt;=0,"Check amount",IF(H285="Cancelled","Cancelled",IF(H285="Cleared",IF(I285="","Enter cash date","Cleared"),IF(H285="Bounced","Follow up bounced",IF(F285="","Enter expected date",IF(F285&lt;'Data &amp; Targets'!$C$10,"Overdue",IF(F285&lt;'Data &amp; Targets'!$C$10+30,"Due next 30 days","Pending")))))))))</x:f>
      </x:c>
    </x:row>
    <x:row r="286" ht="22" customHeight="1">
      <x:c r="A286" s="107"/>
      <x:c r="B286" s="107"/>
      <x:c r="C286" s="107"/>
      <x:c r="D286" s="107"/>
      <x:c r="E286" s="111"/>
      <x:c r="F286" s="111"/>
      <x:c r="G286" s="109"/>
      <x:c r="H286" s="107"/>
      <x:c r="I286" s="111"/>
      <x:c r="J286" s="107"/>
      <x:c r="K286" t="str">
        <x:f>IF(COUNTA(A286:J286)=0,"",IF(OR(A286="",B286="",D286="",G286="",H286=""),"Complete entry",IF(G286&lt;=0,"Check amount",IF(H286="Cancelled","Cancelled",IF(H286="Cleared",IF(I286="","Enter cash date","Cleared"),IF(H286="Bounced","Follow up bounced",IF(F286="","Enter expected date",IF(F286&lt;'Data &amp; Targets'!$C$10,"Overdue",IF(F286&lt;'Data &amp; Targets'!$C$10+30,"Due next 30 days","Pending")))))))))</x:f>
      </x:c>
    </x:row>
    <x:row r="287" ht="22" customHeight="1">
      <x:c r="A287" s="107"/>
      <x:c r="B287" s="107"/>
      <x:c r="C287" s="107"/>
      <x:c r="D287" s="107"/>
      <x:c r="E287" s="111"/>
      <x:c r="F287" s="111"/>
      <x:c r="G287" s="109"/>
      <x:c r="H287" s="107"/>
      <x:c r="I287" s="111"/>
      <x:c r="J287" s="107"/>
      <x:c r="K287" t="str">
        <x:f>IF(COUNTA(A287:J287)=0,"",IF(OR(A287="",B287="",D287="",G287="",H287=""),"Complete entry",IF(G287&lt;=0,"Check amount",IF(H287="Cancelled","Cancelled",IF(H287="Cleared",IF(I287="","Enter cash date","Cleared"),IF(H287="Bounced","Follow up bounced",IF(F287="","Enter expected date",IF(F287&lt;'Data &amp; Targets'!$C$10,"Overdue",IF(F287&lt;'Data &amp; Targets'!$C$10+30,"Due next 30 days","Pending")))))))))</x:f>
      </x:c>
    </x:row>
    <x:row r="288" ht="22" customHeight="1">
      <x:c r="A288" s="107"/>
      <x:c r="B288" s="107"/>
      <x:c r="C288" s="107"/>
      <x:c r="D288" s="107"/>
      <x:c r="E288" s="111"/>
      <x:c r="F288" s="111"/>
      <x:c r="G288" s="109"/>
      <x:c r="H288" s="107"/>
      <x:c r="I288" s="111"/>
      <x:c r="J288" s="107"/>
      <x:c r="K288" t="str">
        <x:f>IF(COUNTA(A288:J288)=0,"",IF(OR(A288="",B288="",D288="",G288="",H288=""),"Complete entry",IF(G288&lt;=0,"Check amount",IF(H288="Cancelled","Cancelled",IF(H288="Cleared",IF(I288="","Enter cash date","Cleared"),IF(H288="Bounced","Follow up bounced",IF(F288="","Enter expected date",IF(F288&lt;'Data &amp; Targets'!$C$10,"Overdue",IF(F288&lt;'Data &amp; Targets'!$C$10+30,"Due next 30 days","Pending")))))))))</x:f>
      </x:c>
    </x:row>
    <x:row r="289" ht="22" customHeight="1">
      <x:c r="A289" s="107"/>
      <x:c r="B289" s="107"/>
      <x:c r="C289" s="107"/>
      <x:c r="D289" s="107"/>
      <x:c r="E289" s="111"/>
      <x:c r="F289" s="111"/>
      <x:c r="G289" s="109"/>
      <x:c r="H289" s="107"/>
      <x:c r="I289" s="111"/>
      <x:c r="J289" s="107"/>
      <x:c r="K289" t="str">
        <x:f>IF(COUNTA(A289:J289)=0,"",IF(OR(A289="",B289="",D289="",G289="",H289=""),"Complete entry",IF(G289&lt;=0,"Check amount",IF(H289="Cancelled","Cancelled",IF(H289="Cleared",IF(I289="","Enter cash date","Cleared"),IF(H289="Bounced","Follow up bounced",IF(F289="","Enter expected date",IF(F289&lt;'Data &amp; Targets'!$C$10,"Overdue",IF(F289&lt;'Data &amp; Targets'!$C$10+30,"Due next 30 days","Pending")))))))))</x:f>
      </x:c>
    </x:row>
    <x:row r="290" ht="22" customHeight="1">
      <x:c r="A290" s="107"/>
      <x:c r="B290" s="107"/>
      <x:c r="C290" s="107"/>
      <x:c r="D290" s="107"/>
      <x:c r="E290" s="111"/>
      <x:c r="F290" s="111"/>
      <x:c r="G290" s="109"/>
      <x:c r="H290" s="107"/>
      <x:c r="I290" s="111"/>
      <x:c r="J290" s="107"/>
      <x:c r="K290" t="str">
        <x:f>IF(COUNTA(A290:J290)=0,"",IF(OR(A290="",B290="",D290="",G290="",H290=""),"Complete entry",IF(G290&lt;=0,"Check amount",IF(H290="Cancelled","Cancelled",IF(H290="Cleared",IF(I290="","Enter cash date","Cleared"),IF(H290="Bounced","Follow up bounced",IF(F290="","Enter expected date",IF(F290&lt;'Data &amp; Targets'!$C$10,"Overdue",IF(F290&lt;'Data &amp; Targets'!$C$10+30,"Due next 30 days","Pending")))))))))</x:f>
      </x:c>
    </x:row>
    <x:row r="291" ht="22" customHeight="1">
      <x:c r="A291" s="107"/>
      <x:c r="B291" s="107"/>
      <x:c r="C291" s="107"/>
      <x:c r="D291" s="107"/>
      <x:c r="E291" s="111"/>
      <x:c r="F291" s="111"/>
      <x:c r="G291" s="109"/>
      <x:c r="H291" s="107"/>
      <x:c r="I291" s="111"/>
      <x:c r="J291" s="107"/>
      <x:c r="K291" t="str">
        <x:f>IF(COUNTA(A291:J291)=0,"",IF(OR(A291="",B291="",D291="",G291="",H291=""),"Complete entry",IF(G291&lt;=0,"Check amount",IF(H291="Cancelled","Cancelled",IF(H291="Cleared",IF(I291="","Enter cash date","Cleared"),IF(H291="Bounced","Follow up bounced",IF(F291="","Enter expected date",IF(F291&lt;'Data &amp; Targets'!$C$10,"Overdue",IF(F291&lt;'Data &amp; Targets'!$C$10+30,"Due next 30 days","Pending")))))))))</x:f>
      </x:c>
    </x:row>
    <x:row r="292" ht="22" customHeight="1">
      <x:c r="A292" s="107"/>
      <x:c r="B292" s="107"/>
      <x:c r="C292" s="107"/>
      <x:c r="D292" s="107"/>
      <x:c r="E292" s="111"/>
      <x:c r="F292" s="111"/>
      <x:c r="G292" s="109"/>
      <x:c r="H292" s="107"/>
      <x:c r="I292" s="111"/>
      <x:c r="J292" s="107"/>
      <x:c r="K292" t="str">
        <x:f>IF(COUNTA(A292:J292)=0,"",IF(OR(A292="",B292="",D292="",G292="",H292=""),"Complete entry",IF(G292&lt;=0,"Check amount",IF(H292="Cancelled","Cancelled",IF(H292="Cleared",IF(I292="","Enter cash date","Cleared"),IF(H292="Bounced","Follow up bounced",IF(F292="","Enter expected date",IF(F292&lt;'Data &amp; Targets'!$C$10,"Overdue",IF(F292&lt;'Data &amp; Targets'!$C$10+30,"Due next 30 days","Pending")))))))))</x:f>
      </x:c>
    </x:row>
    <x:row r="293" ht="22" customHeight="1">
      <x:c r="A293" s="107"/>
      <x:c r="B293" s="107"/>
      <x:c r="C293" s="107"/>
      <x:c r="D293" s="107"/>
      <x:c r="E293" s="111"/>
      <x:c r="F293" s="111"/>
      <x:c r="G293" s="109"/>
      <x:c r="H293" s="107"/>
      <x:c r="I293" s="111"/>
      <x:c r="J293" s="107"/>
      <x:c r="K293" t="str">
        <x:f>IF(COUNTA(A293:J293)=0,"",IF(OR(A293="",B293="",D293="",G293="",H293=""),"Complete entry",IF(G293&lt;=0,"Check amount",IF(H293="Cancelled","Cancelled",IF(H293="Cleared",IF(I293="","Enter cash date","Cleared"),IF(H293="Bounced","Follow up bounced",IF(F293="","Enter expected date",IF(F293&lt;'Data &amp; Targets'!$C$10,"Overdue",IF(F293&lt;'Data &amp; Targets'!$C$10+30,"Due next 30 days","Pending")))))))))</x:f>
      </x:c>
    </x:row>
    <x:row r="294" ht="22" customHeight="1">
      <x:c r="A294" s="107"/>
      <x:c r="B294" s="107"/>
      <x:c r="C294" s="107"/>
      <x:c r="D294" s="107"/>
      <x:c r="E294" s="111"/>
      <x:c r="F294" s="111"/>
      <x:c r="G294" s="109"/>
      <x:c r="H294" s="107"/>
      <x:c r="I294" s="111"/>
      <x:c r="J294" s="107"/>
      <x:c r="K294" t="str">
        <x:f>IF(COUNTA(A294:J294)=0,"",IF(OR(A294="",B294="",D294="",G294="",H294=""),"Complete entry",IF(G294&lt;=0,"Check amount",IF(H294="Cancelled","Cancelled",IF(H294="Cleared",IF(I294="","Enter cash date","Cleared"),IF(H294="Bounced","Follow up bounced",IF(F294="","Enter expected date",IF(F294&lt;'Data &amp; Targets'!$C$10,"Overdue",IF(F294&lt;'Data &amp; Targets'!$C$10+30,"Due next 30 days","Pending")))))))))</x:f>
      </x:c>
    </x:row>
    <x:row r="295" ht="22" customHeight="1">
      <x:c r="A295" s="107"/>
      <x:c r="B295" s="107"/>
      <x:c r="C295" s="107"/>
      <x:c r="D295" s="107"/>
      <x:c r="E295" s="111"/>
      <x:c r="F295" s="111"/>
      <x:c r="G295" s="109"/>
      <x:c r="H295" s="107"/>
      <x:c r="I295" s="111"/>
      <x:c r="J295" s="107"/>
      <x:c r="K295" t="str">
        <x:f>IF(COUNTA(A295:J295)=0,"",IF(OR(A295="",B295="",D295="",G295="",H295=""),"Complete entry",IF(G295&lt;=0,"Check amount",IF(H295="Cancelled","Cancelled",IF(H295="Cleared",IF(I295="","Enter cash date","Cleared"),IF(H295="Bounced","Follow up bounced",IF(F295="","Enter expected date",IF(F295&lt;'Data &amp; Targets'!$C$10,"Overdue",IF(F295&lt;'Data &amp; Targets'!$C$10+30,"Due next 30 days","Pending")))))))))</x:f>
      </x:c>
    </x:row>
    <x:row r="296" ht="22" customHeight="1">
      <x:c r="A296" s="107"/>
      <x:c r="B296" s="107"/>
      <x:c r="C296" s="107"/>
      <x:c r="D296" s="107"/>
      <x:c r="E296" s="111"/>
      <x:c r="F296" s="111"/>
      <x:c r="G296" s="109"/>
      <x:c r="H296" s="107"/>
      <x:c r="I296" s="111"/>
      <x:c r="J296" s="107"/>
      <x:c r="K296" t="str">
        <x:f>IF(COUNTA(A296:J296)=0,"",IF(OR(A296="",B296="",D296="",G296="",H296=""),"Complete entry",IF(G296&lt;=0,"Check amount",IF(H296="Cancelled","Cancelled",IF(H296="Cleared",IF(I296="","Enter cash date","Cleared"),IF(H296="Bounced","Follow up bounced",IF(F296="","Enter expected date",IF(F296&lt;'Data &amp; Targets'!$C$10,"Overdue",IF(F296&lt;'Data &amp; Targets'!$C$10+30,"Due next 30 days","Pending")))))))))</x:f>
      </x:c>
    </x:row>
    <x:row r="297" ht="22" customHeight="1">
      <x:c r="A297" s="107"/>
      <x:c r="B297" s="107"/>
      <x:c r="C297" s="107"/>
      <x:c r="D297" s="107"/>
      <x:c r="E297" s="111"/>
      <x:c r="F297" s="111"/>
      <x:c r="G297" s="109"/>
      <x:c r="H297" s="107"/>
      <x:c r="I297" s="111"/>
      <x:c r="J297" s="107"/>
      <x:c r="K297" t="str">
        <x:f>IF(COUNTA(A297:J297)=0,"",IF(OR(A297="",B297="",D297="",G297="",H297=""),"Complete entry",IF(G297&lt;=0,"Check amount",IF(H297="Cancelled","Cancelled",IF(H297="Cleared",IF(I297="","Enter cash date","Cleared"),IF(H297="Bounced","Follow up bounced",IF(F297="","Enter expected date",IF(F297&lt;'Data &amp; Targets'!$C$10,"Overdue",IF(F297&lt;'Data &amp; Targets'!$C$10+30,"Due next 30 days","Pending")))))))))</x:f>
      </x:c>
    </x:row>
    <x:row r="298" ht="22" customHeight="1">
      <x:c r="A298" s="107"/>
      <x:c r="B298" s="107"/>
      <x:c r="C298" s="107"/>
      <x:c r="D298" s="107"/>
      <x:c r="E298" s="111"/>
      <x:c r="F298" s="111"/>
      <x:c r="G298" s="109"/>
      <x:c r="H298" s="107"/>
      <x:c r="I298" s="111"/>
      <x:c r="J298" s="107"/>
      <x:c r="K298" t="str">
        <x:f>IF(COUNTA(A298:J298)=0,"",IF(OR(A298="",B298="",D298="",G298="",H298=""),"Complete entry",IF(G298&lt;=0,"Check amount",IF(H298="Cancelled","Cancelled",IF(H298="Cleared",IF(I298="","Enter cash date","Cleared"),IF(H298="Bounced","Follow up bounced",IF(F298="","Enter expected date",IF(F298&lt;'Data &amp; Targets'!$C$10,"Overdue",IF(F298&lt;'Data &amp; Targets'!$C$10+30,"Due next 30 days","Pending")))))))))</x:f>
      </x:c>
    </x:row>
    <x:row r="299" ht="22" customHeight="1">
      <x:c r="A299" s="107"/>
      <x:c r="B299" s="107"/>
      <x:c r="C299" s="107"/>
      <x:c r="D299" s="107"/>
      <x:c r="E299" s="111"/>
      <x:c r="F299" s="111"/>
      <x:c r="G299" s="109"/>
      <x:c r="H299" s="107"/>
      <x:c r="I299" s="111"/>
      <x:c r="J299" s="107"/>
      <x:c r="K299" t="str">
        <x:f>IF(COUNTA(A299:J299)=0,"",IF(OR(A299="",B299="",D299="",G299="",H299=""),"Complete entry",IF(G299&lt;=0,"Check amount",IF(H299="Cancelled","Cancelled",IF(H299="Cleared",IF(I299="","Enter cash date","Cleared"),IF(H299="Bounced","Follow up bounced",IF(F299="","Enter expected date",IF(F299&lt;'Data &amp; Targets'!$C$10,"Overdue",IF(F299&lt;'Data &amp; Targets'!$C$10+30,"Due next 30 days","Pending")))))))))</x:f>
      </x:c>
    </x:row>
    <x:row r="300" ht="22" customHeight="1">
      <x:c r="A300" s="107"/>
      <x:c r="B300" s="107"/>
      <x:c r="C300" s="107"/>
      <x:c r="D300" s="107"/>
      <x:c r="E300" s="111"/>
      <x:c r="F300" s="111"/>
      <x:c r="G300" s="109"/>
      <x:c r="H300" s="107"/>
      <x:c r="I300" s="111"/>
      <x:c r="J300" s="107"/>
      <x:c r="K300" t="str">
        <x:f>IF(COUNTA(A300:J300)=0,"",IF(OR(A300="",B300="",D300="",G300="",H300=""),"Complete entry",IF(G300&lt;=0,"Check amount",IF(H300="Cancelled","Cancelled",IF(H300="Cleared",IF(I300="","Enter cash date","Cleared"),IF(H300="Bounced","Follow up bounced",IF(F300="","Enter expected date",IF(F300&lt;'Data &amp; Targets'!$C$10,"Overdue",IF(F300&lt;'Data &amp; Targets'!$C$10+30,"Due next 30 days","Pending")))))))))</x:f>
      </x:c>
    </x:row>
    <x:row r="301" ht="22" customHeight="1">
      <x:c r="A301" s="107"/>
      <x:c r="B301" s="107"/>
      <x:c r="C301" s="107"/>
      <x:c r="D301" s="107"/>
      <x:c r="E301" s="111"/>
      <x:c r="F301" s="111"/>
      <x:c r="G301" s="109"/>
      <x:c r="H301" s="107"/>
      <x:c r="I301" s="111"/>
      <x:c r="J301" s="107"/>
      <x:c r="K301" t="str">
        <x:f>IF(COUNTA(A301:J301)=0,"",IF(OR(A301="",B301="",D301="",G301="",H301=""),"Complete entry",IF(G301&lt;=0,"Check amount",IF(H301="Cancelled","Cancelled",IF(H301="Cleared",IF(I301="","Enter cash date","Cleared"),IF(H301="Bounced","Follow up bounced",IF(F301="","Enter expected date",IF(F301&lt;'Data &amp; Targets'!$C$10,"Overdue",IF(F301&lt;'Data &amp; Targets'!$C$10+30,"Due next 30 days","Pending")))))))))</x:f>
      </x:c>
    </x:row>
    <x:row r="302" ht="22" customHeight="1">
      <x:c r="A302" s="107"/>
      <x:c r="B302" s="107"/>
      <x:c r="C302" s="107"/>
      <x:c r="D302" s="107"/>
      <x:c r="E302" s="111"/>
      <x:c r="F302" s="111"/>
      <x:c r="G302" s="109"/>
      <x:c r="H302" s="107"/>
      <x:c r="I302" s="111"/>
      <x:c r="J302" s="107"/>
      <x:c r="K302" t="str">
        <x:f>IF(COUNTA(A302:J302)=0,"",IF(OR(A302="",B302="",D302="",G302="",H302=""),"Complete entry",IF(G302&lt;=0,"Check amount",IF(H302="Cancelled","Cancelled",IF(H302="Cleared",IF(I302="","Enter cash date","Cleared"),IF(H302="Bounced","Follow up bounced",IF(F302="","Enter expected date",IF(F302&lt;'Data &amp; Targets'!$C$10,"Overdue",IF(F302&lt;'Data &amp; Targets'!$C$10+30,"Due next 30 days","Pending")))))))))</x:f>
      </x:c>
    </x:row>
    <x:row r="303" ht="22" customHeight="1">
      <x:c r="A303" s="107"/>
      <x:c r="B303" s="107"/>
      <x:c r="C303" s="107"/>
      <x:c r="D303" s="107"/>
      <x:c r="E303" s="111"/>
      <x:c r="F303" s="111"/>
      <x:c r="G303" s="109"/>
      <x:c r="H303" s="107"/>
      <x:c r="I303" s="111"/>
      <x:c r="J303" s="107"/>
      <x:c r="K303" t="str">
        <x:f>IF(COUNTA(A303:J303)=0,"",IF(OR(A303="",B303="",D303="",G303="",H303=""),"Complete entry",IF(G303&lt;=0,"Check amount",IF(H303="Cancelled","Cancelled",IF(H303="Cleared",IF(I303="","Enter cash date","Cleared"),IF(H303="Bounced","Follow up bounced",IF(F303="","Enter expected date",IF(F303&lt;'Data &amp; Targets'!$C$10,"Overdue",IF(F303&lt;'Data &amp; Targets'!$C$10+30,"Due next 30 days","Pending")))))))))</x:f>
      </x:c>
    </x:row>
    <x:row r="304" ht="22" customHeight="1">
      <x:c r="A304" s="107"/>
      <x:c r="B304" s="107"/>
      <x:c r="C304" s="107"/>
      <x:c r="D304" s="107"/>
      <x:c r="E304" s="111"/>
      <x:c r="F304" s="111"/>
      <x:c r="G304" s="109"/>
      <x:c r="H304" s="107"/>
      <x:c r="I304" s="111"/>
      <x:c r="J304" s="107"/>
      <x:c r="K304" t="str">
        <x:f>IF(COUNTA(A304:J304)=0,"",IF(OR(A304="",B304="",D304="",G304="",H304=""),"Complete entry",IF(G304&lt;=0,"Check amount",IF(H304="Cancelled","Cancelled",IF(H304="Cleared",IF(I304="","Enter cash date","Cleared"),IF(H304="Bounced","Follow up bounced",IF(F304="","Enter expected date",IF(F304&lt;'Data &amp; Targets'!$C$10,"Overdue",IF(F304&lt;'Data &amp; Targets'!$C$10+30,"Due next 30 days","Pending")))))))))</x:f>
      </x:c>
    </x:row>
    <x:row r="305" ht="22" customHeight="1">
      <x:c r="A305" s="107"/>
      <x:c r="B305" s="107"/>
      <x:c r="C305" s="107"/>
      <x:c r="D305" s="107"/>
      <x:c r="E305" s="111"/>
      <x:c r="F305" s="111"/>
      <x:c r="G305" s="109"/>
      <x:c r="H305" s="107"/>
      <x:c r="I305" s="111"/>
      <x:c r="J305" s="107"/>
      <x:c r="K305" t="str">
        <x:f>IF(COUNTA(A305:J305)=0,"",IF(OR(A305="",B305="",D305="",G305="",H305=""),"Complete entry",IF(G305&lt;=0,"Check amount",IF(H305="Cancelled","Cancelled",IF(H305="Cleared",IF(I305="","Enter cash date","Cleared"),IF(H305="Bounced","Follow up bounced",IF(F305="","Enter expected date",IF(F305&lt;'Data &amp; Targets'!$C$10,"Overdue",IF(F305&lt;'Data &amp; Targets'!$C$10+30,"Due next 30 days","Pending")))))))))</x:f>
      </x:c>
    </x:row>
    <x:row r="306" ht="22" customHeight="1">
      <x:c r="A306" s="107"/>
      <x:c r="B306" s="107"/>
      <x:c r="C306" s="107"/>
      <x:c r="D306" s="107"/>
      <x:c r="E306" s="111"/>
      <x:c r="F306" s="111"/>
      <x:c r="G306" s="109"/>
      <x:c r="H306" s="107"/>
      <x:c r="I306" s="111"/>
      <x:c r="J306" s="107"/>
      <x:c r="K306" t="str">
        <x:f>IF(COUNTA(A306:J306)=0,"",IF(OR(A306="",B306="",D306="",G306="",H306=""),"Complete entry",IF(G306&lt;=0,"Check amount",IF(H306="Cancelled","Cancelled",IF(H306="Cleared",IF(I306="","Enter cash date","Cleared"),IF(H306="Bounced","Follow up bounced",IF(F306="","Enter expected date",IF(F306&lt;'Data &amp; Targets'!$C$10,"Overdue",IF(F306&lt;'Data &amp; Targets'!$C$10+30,"Due next 30 days","Pending")))))))))</x:f>
      </x:c>
    </x:row>
    <x:row r="307" ht="22" customHeight="1">
      <x:c r="A307" s="107"/>
      <x:c r="B307" s="107"/>
      <x:c r="C307" s="107"/>
      <x:c r="D307" s="107"/>
      <x:c r="E307" s="111"/>
      <x:c r="F307" s="111"/>
      <x:c r="G307" s="109"/>
      <x:c r="H307" s="107"/>
      <x:c r="I307" s="111"/>
      <x:c r="J307" s="107"/>
      <x:c r="K307" t="str">
        <x:f>IF(COUNTA(A307:J307)=0,"",IF(OR(A307="",B307="",D307="",G307="",H307=""),"Complete entry",IF(G307&lt;=0,"Check amount",IF(H307="Cancelled","Cancelled",IF(H307="Cleared",IF(I307="","Enter cash date","Cleared"),IF(H307="Bounced","Follow up bounced",IF(F307="","Enter expected date",IF(F307&lt;'Data &amp; Targets'!$C$10,"Overdue",IF(F307&lt;'Data &amp; Targets'!$C$10+30,"Due next 30 days","Pending")))))))))</x:f>
      </x:c>
    </x:row>
    <x:row r="308" ht="22" customHeight="1">
      <x:c r="A308" s="107"/>
      <x:c r="B308" s="107"/>
      <x:c r="C308" s="107"/>
      <x:c r="D308" s="107"/>
      <x:c r="E308" s="111"/>
      <x:c r="F308" s="111"/>
      <x:c r="G308" s="109"/>
      <x:c r="H308" s="107"/>
      <x:c r="I308" s="111"/>
      <x:c r="J308" s="107"/>
      <x:c r="K308" t="str">
        <x:f>IF(COUNTA(A308:J308)=0,"",IF(OR(A308="",B308="",D308="",G308="",H308=""),"Complete entry",IF(G308&lt;=0,"Check amount",IF(H308="Cancelled","Cancelled",IF(H308="Cleared",IF(I308="","Enter cash date","Cleared"),IF(H308="Bounced","Follow up bounced",IF(F308="","Enter expected date",IF(F308&lt;'Data &amp; Targets'!$C$10,"Overdue",IF(F308&lt;'Data &amp; Targets'!$C$10+30,"Due next 30 days","Pending")))))))))</x:f>
      </x:c>
    </x:row>
    <x:row r="309" ht="22" customHeight="1">
      <x:c r="A309" s="107"/>
      <x:c r="B309" s="107"/>
      <x:c r="C309" s="107"/>
      <x:c r="D309" s="107"/>
      <x:c r="E309" s="111"/>
      <x:c r="F309" s="111"/>
      <x:c r="G309" s="109"/>
      <x:c r="H309" s="107"/>
      <x:c r="I309" s="111"/>
      <x:c r="J309" s="107"/>
      <x:c r="K309" t="str">
        <x:f>IF(COUNTA(A309:J309)=0,"",IF(OR(A309="",B309="",D309="",G309="",H309=""),"Complete entry",IF(G309&lt;=0,"Check amount",IF(H309="Cancelled","Cancelled",IF(H309="Cleared",IF(I309="","Enter cash date","Cleared"),IF(H309="Bounced","Follow up bounced",IF(F309="","Enter expected date",IF(F309&lt;'Data &amp; Targets'!$C$10,"Overdue",IF(F309&lt;'Data &amp; Targets'!$C$10+30,"Due next 30 days","Pending")))))))))</x:f>
      </x:c>
    </x:row>
    <x:row r="310" ht="22" customHeight="1">
      <x:c r="A310" s="107"/>
      <x:c r="B310" s="107"/>
      <x:c r="C310" s="107"/>
      <x:c r="D310" s="107"/>
      <x:c r="E310" s="111"/>
      <x:c r="F310" s="111"/>
      <x:c r="G310" s="109"/>
      <x:c r="H310" s="107"/>
      <x:c r="I310" s="111"/>
      <x:c r="J310" s="107"/>
      <x:c r="K310" t="str">
        <x:f>IF(COUNTA(A310:J310)=0,"",IF(OR(A310="",B310="",D310="",G310="",H310=""),"Complete entry",IF(G310&lt;=0,"Check amount",IF(H310="Cancelled","Cancelled",IF(H310="Cleared",IF(I310="","Enter cash date","Cleared"),IF(H310="Bounced","Follow up bounced",IF(F310="","Enter expected date",IF(F310&lt;'Data &amp; Targets'!$C$10,"Overdue",IF(F310&lt;'Data &amp; Targets'!$C$10+30,"Due next 30 days","Pending")))))))))</x:f>
      </x:c>
    </x:row>
    <x:row r="311" ht="22" customHeight="1">
      <x:c r="A311" s="107"/>
      <x:c r="B311" s="107"/>
      <x:c r="C311" s="107"/>
      <x:c r="D311" s="107"/>
      <x:c r="E311" s="111"/>
      <x:c r="F311" s="111"/>
      <x:c r="G311" s="109"/>
      <x:c r="H311" s="107"/>
      <x:c r="I311" s="111"/>
      <x:c r="J311" s="107"/>
      <x:c r="K311" t="str">
        <x:f>IF(COUNTA(A311:J311)=0,"",IF(OR(A311="",B311="",D311="",G311="",H311=""),"Complete entry",IF(G311&lt;=0,"Check amount",IF(H311="Cancelled","Cancelled",IF(H311="Cleared",IF(I311="","Enter cash date","Cleared"),IF(H311="Bounced","Follow up bounced",IF(F311="","Enter expected date",IF(F311&lt;'Data &amp; Targets'!$C$10,"Overdue",IF(F311&lt;'Data &amp; Targets'!$C$10+30,"Due next 30 days","Pending")))))))))</x:f>
      </x:c>
    </x:row>
    <x:row r="312" ht="22" customHeight="1">
      <x:c r="A312" s="107"/>
      <x:c r="B312" s="107"/>
      <x:c r="C312" s="107"/>
      <x:c r="D312" s="107"/>
      <x:c r="E312" s="111"/>
      <x:c r="F312" s="111"/>
      <x:c r="G312" s="109"/>
      <x:c r="H312" s="107"/>
      <x:c r="I312" s="111"/>
      <x:c r="J312" s="107"/>
      <x:c r="K312" t="str">
        <x:f>IF(COUNTA(A312:J312)=0,"",IF(OR(A312="",B312="",D312="",G312="",H312=""),"Complete entry",IF(G312&lt;=0,"Check amount",IF(H312="Cancelled","Cancelled",IF(H312="Cleared",IF(I312="","Enter cash date","Cleared"),IF(H312="Bounced","Follow up bounced",IF(F312="","Enter expected date",IF(F312&lt;'Data &amp; Targets'!$C$10,"Overdue",IF(F312&lt;'Data &amp; Targets'!$C$10+30,"Due next 30 days","Pending")))))))))</x:f>
      </x:c>
    </x:row>
    <x:row r="313" ht="22" customHeight="1">
      <x:c r="A313" s="107"/>
      <x:c r="B313" s="107"/>
      <x:c r="C313" s="107"/>
      <x:c r="D313" s="107"/>
      <x:c r="E313" s="111"/>
      <x:c r="F313" s="111"/>
      <x:c r="G313" s="109"/>
      <x:c r="H313" s="107"/>
      <x:c r="I313" s="111"/>
      <x:c r="J313" s="107"/>
      <x:c r="K313" t="str">
        <x:f>IF(COUNTA(A313:J313)=0,"",IF(OR(A313="",B313="",D313="",G313="",H313=""),"Complete entry",IF(G313&lt;=0,"Check amount",IF(H313="Cancelled","Cancelled",IF(H313="Cleared",IF(I313="","Enter cash date","Cleared"),IF(H313="Bounced","Follow up bounced",IF(F313="","Enter expected date",IF(F313&lt;'Data &amp; Targets'!$C$10,"Overdue",IF(F313&lt;'Data &amp; Targets'!$C$10+30,"Due next 30 days","Pending")))))))))</x:f>
      </x:c>
    </x:row>
    <x:row r="314" ht="22" customHeight="1">
      <x:c r="A314" s="107"/>
      <x:c r="B314" s="107"/>
      <x:c r="C314" s="107"/>
      <x:c r="D314" s="107"/>
      <x:c r="E314" s="111"/>
      <x:c r="F314" s="111"/>
      <x:c r="G314" s="109"/>
      <x:c r="H314" s="107"/>
      <x:c r="I314" s="111"/>
      <x:c r="J314" s="107"/>
      <x:c r="K314" t="str">
        <x:f>IF(COUNTA(A314:J314)=0,"",IF(OR(A314="",B314="",D314="",G314="",H314=""),"Complete entry",IF(G314&lt;=0,"Check amount",IF(H314="Cancelled","Cancelled",IF(H314="Cleared",IF(I314="","Enter cash date","Cleared"),IF(H314="Bounced","Follow up bounced",IF(F314="","Enter expected date",IF(F314&lt;'Data &amp; Targets'!$C$10,"Overdue",IF(F314&lt;'Data &amp; Targets'!$C$10+30,"Due next 30 days","Pending")))))))))</x:f>
      </x:c>
    </x:row>
    <x:row r="315" ht="22" customHeight="1">
      <x:c r="A315" s="107"/>
      <x:c r="B315" s="107"/>
      <x:c r="C315" s="107"/>
      <x:c r="D315" s="107"/>
      <x:c r="E315" s="111"/>
      <x:c r="F315" s="111"/>
      <x:c r="G315" s="109"/>
      <x:c r="H315" s="107"/>
      <x:c r="I315" s="111"/>
      <x:c r="J315" s="107"/>
      <x:c r="K315" t="str">
        <x:f>IF(COUNTA(A315:J315)=0,"",IF(OR(A315="",B315="",D315="",G315="",H315=""),"Complete entry",IF(G315&lt;=0,"Check amount",IF(H315="Cancelled","Cancelled",IF(H315="Cleared",IF(I315="","Enter cash date","Cleared"),IF(H315="Bounced","Follow up bounced",IF(F315="","Enter expected date",IF(F315&lt;'Data &amp; Targets'!$C$10,"Overdue",IF(F315&lt;'Data &amp; Targets'!$C$10+30,"Due next 30 days","Pending")))))))))</x:f>
      </x:c>
    </x:row>
    <x:row r="316" ht="22" customHeight="1">
      <x:c r="A316" s="107"/>
      <x:c r="B316" s="107"/>
      <x:c r="C316" s="107"/>
      <x:c r="D316" s="107"/>
      <x:c r="E316" s="111"/>
      <x:c r="F316" s="111"/>
      <x:c r="G316" s="109"/>
      <x:c r="H316" s="107"/>
      <x:c r="I316" s="111"/>
      <x:c r="J316" s="107"/>
      <x:c r="K316" t="str">
        <x:f>IF(COUNTA(A316:J316)=0,"",IF(OR(A316="",B316="",D316="",G316="",H316=""),"Complete entry",IF(G316&lt;=0,"Check amount",IF(H316="Cancelled","Cancelled",IF(H316="Cleared",IF(I316="","Enter cash date","Cleared"),IF(H316="Bounced","Follow up bounced",IF(F316="","Enter expected date",IF(F316&lt;'Data &amp; Targets'!$C$10,"Overdue",IF(F316&lt;'Data &amp; Targets'!$C$10+30,"Due next 30 days","Pending")))))))))</x:f>
      </x:c>
    </x:row>
    <x:row r="317" ht="22" customHeight="1">
      <x:c r="A317" s="107"/>
      <x:c r="B317" s="107"/>
      <x:c r="C317" s="107"/>
      <x:c r="D317" s="107"/>
      <x:c r="E317" s="111"/>
      <x:c r="F317" s="111"/>
      <x:c r="G317" s="109"/>
      <x:c r="H317" s="107"/>
      <x:c r="I317" s="111"/>
      <x:c r="J317" s="107"/>
      <x:c r="K317" t="str">
        <x:f>IF(COUNTA(A317:J317)=0,"",IF(OR(A317="",B317="",D317="",G317="",H317=""),"Complete entry",IF(G317&lt;=0,"Check amount",IF(H317="Cancelled","Cancelled",IF(H317="Cleared",IF(I317="","Enter cash date","Cleared"),IF(H317="Bounced","Follow up bounced",IF(F317="","Enter expected date",IF(F317&lt;'Data &amp; Targets'!$C$10,"Overdue",IF(F317&lt;'Data &amp; Targets'!$C$10+30,"Due next 30 days","Pending")))))))))</x:f>
      </x:c>
    </x:row>
    <x:row r="318" ht="22" customHeight="1">
      <x:c r="A318" s="107"/>
      <x:c r="B318" s="107"/>
      <x:c r="C318" s="107"/>
      <x:c r="D318" s="107"/>
      <x:c r="E318" s="111"/>
      <x:c r="F318" s="111"/>
      <x:c r="G318" s="109"/>
      <x:c r="H318" s="107"/>
      <x:c r="I318" s="111"/>
      <x:c r="J318" s="107"/>
      <x:c r="K318" t="str">
        <x:f>IF(COUNTA(A318:J318)=0,"",IF(OR(A318="",B318="",D318="",G318="",H318=""),"Complete entry",IF(G318&lt;=0,"Check amount",IF(H318="Cancelled","Cancelled",IF(H318="Cleared",IF(I318="","Enter cash date","Cleared"),IF(H318="Bounced","Follow up bounced",IF(F318="","Enter expected date",IF(F318&lt;'Data &amp; Targets'!$C$10,"Overdue",IF(F318&lt;'Data &amp; Targets'!$C$10+30,"Due next 30 days","Pending")))))))))</x:f>
      </x:c>
    </x:row>
    <x:row r="319" ht="22" customHeight="1">
      <x:c r="A319" s="107"/>
      <x:c r="B319" s="107"/>
      <x:c r="C319" s="107"/>
      <x:c r="D319" s="107"/>
      <x:c r="E319" s="111"/>
      <x:c r="F319" s="111"/>
      <x:c r="G319" s="109"/>
      <x:c r="H319" s="107"/>
      <x:c r="I319" s="111"/>
      <x:c r="J319" s="107"/>
      <x:c r="K319" t="str">
        <x:f>IF(COUNTA(A319:J319)=0,"",IF(OR(A319="",B319="",D319="",G319="",H319=""),"Complete entry",IF(G319&lt;=0,"Check amount",IF(H319="Cancelled","Cancelled",IF(H319="Cleared",IF(I319="","Enter cash date","Cleared"),IF(H319="Bounced","Follow up bounced",IF(F319="","Enter expected date",IF(F319&lt;'Data &amp; Targets'!$C$10,"Overdue",IF(F319&lt;'Data &amp; Targets'!$C$10+30,"Due next 30 days","Pending")))))))))</x:f>
      </x:c>
    </x:row>
    <x:row r="320" ht="22" customHeight="1">
      <x:c r="A320" s="107"/>
      <x:c r="B320" s="107"/>
      <x:c r="C320" s="107"/>
      <x:c r="D320" s="107"/>
      <x:c r="E320" s="111"/>
      <x:c r="F320" s="111"/>
      <x:c r="G320" s="109"/>
      <x:c r="H320" s="107"/>
      <x:c r="I320" s="111"/>
      <x:c r="J320" s="107"/>
      <x:c r="K320" t="str">
        <x:f>IF(COUNTA(A320:J320)=0,"",IF(OR(A320="",B320="",D320="",G320="",H320=""),"Complete entry",IF(G320&lt;=0,"Check amount",IF(H320="Cancelled","Cancelled",IF(H320="Cleared",IF(I320="","Enter cash date","Cleared"),IF(H320="Bounced","Follow up bounced",IF(F320="","Enter expected date",IF(F320&lt;'Data &amp; Targets'!$C$10,"Overdue",IF(F320&lt;'Data &amp; Targets'!$C$10+30,"Due next 30 days","Pending")))))))))</x:f>
      </x:c>
    </x:row>
    <x:row r="321" ht="22" customHeight="1">
      <x:c r="A321" s="107"/>
      <x:c r="B321" s="107"/>
      <x:c r="C321" s="107"/>
      <x:c r="D321" s="107"/>
      <x:c r="E321" s="111"/>
      <x:c r="F321" s="111"/>
      <x:c r="G321" s="109"/>
      <x:c r="H321" s="107"/>
      <x:c r="I321" s="111"/>
      <x:c r="J321" s="107"/>
      <x:c r="K321" t="str">
        <x:f>IF(COUNTA(A321:J321)=0,"",IF(OR(A321="",B321="",D321="",G321="",H321=""),"Complete entry",IF(G321&lt;=0,"Check amount",IF(H321="Cancelled","Cancelled",IF(H321="Cleared",IF(I321="","Enter cash date","Cleared"),IF(H321="Bounced","Follow up bounced",IF(F321="","Enter expected date",IF(F321&lt;'Data &amp; Targets'!$C$10,"Overdue",IF(F321&lt;'Data &amp; Targets'!$C$10+30,"Due next 30 days","Pending")))))))))</x:f>
      </x:c>
    </x:row>
    <x:row r="322" ht="22" customHeight="1">
      <x:c r="A322" s="107"/>
      <x:c r="B322" s="107"/>
      <x:c r="C322" s="107"/>
      <x:c r="D322" s="107"/>
      <x:c r="E322" s="111"/>
      <x:c r="F322" s="111"/>
      <x:c r="G322" s="109"/>
      <x:c r="H322" s="107"/>
      <x:c r="I322" s="111"/>
      <x:c r="J322" s="107"/>
      <x:c r="K322" t="str">
        <x:f>IF(COUNTA(A322:J322)=0,"",IF(OR(A322="",B322="",D322="",G322="",H322=""),"Complete entry",IF(G322&lt;=0,"Check amount",IF(H322="Cancelled","Cancelled",IF(H322="Cleared",IF(I322="","Enter cash date","Cleared"),IF(H322="Bounced","Follow up bounced",IF(F322="","Enter expected date",IF(F322&lt;'Data &amp; Targets'!$C$10,"Overdue",IF(F322&lt;'Data &amp; Targets'!$C$10+30,"Due next 30 days","Pending")))))))))</x:f>
      </x:c>
    </x:row>
    <x:row r="323" ht="22" customHeight="1">
      <x:c r="A323" s="107"/>
      <x:c r="B323" s="107"/>
      <x:c r="C323" s="107"/>
      <x:c r="D323" s="107"/>
      <x:c r="E323" s="111"/>
      <x:c r="F323" s="111"/>
      <x:c r="G323" s="109"/>
      <x:c r="H323" s="107"/>
      <x:c r="I323" s="111"/>
      <x:c r="J323" s="107"/>
      <x:c r="K323" t="str">
        <x:f>IF(COUNTA(A323:J323)=0,"",IF(OR(A323="",B323="",D323="",G323="",H323=""),"Complete entry",IF(G323&lt;=0,"Check amount",IF(H323="Cancelled","Cancelled",IF(H323="Cleared",IF(I323="","Enter cash date","Cleared"),IF(H323="Bounced","Follow up bounced",IF(F323="","Enter expected date",IF(F323&lt;'Data &amp; Targets'!$C$10,"Overdue",IF(F323&lt;'Data &amp; Targets'!$C$10+30,"Due next 30 days","Pending")))))))))</x:f>
      </x:c>
    </x:row>
    <x:row r="324" ht="22" customHeight="1">
      <x:c r="A324" s="107"/>
      <x:c r="B324" s="107"/>
      <x:c r="C324" s="107"/>
      <x:c r="D324" s="107"/>
      <x:c r="E324" s="111"/>
      <x:c r="F324" s="111"/>
      <x:c r="G324" s="109"/>
      <x:c r="H324" s="107"/>
      <x:c r="I324" s="111"/>
      <x:c r="J324" s="107"/>
      <x:c r="K324" t="str">
        <x:f>IF(COUNTA(A324:J324)=0,"",IF(OR(A324="",B324="",D324="",G324="",H324=""),"Complete entry",IF(G324&lt;=0,"Check amount",IF(H324="Cancelled","Cancelled",IF(H324="Cleared",IF(I324="","Enter cash date","Cleared"),IF(H324="Bounced","Follow up bounced",IF(F324="","Enter expected date",IF(F324&lt;'Data &amp; Targets'!$C$10,"Overdue",IF(F324&lt;'Data &amp; Targets'!$C$10+30,"Due next 30 days","Pending")))))))))</x:f>
      </x:c>
    </x:row>
    <x:row r="325" ht="22" customHeight="1">
      <x:c r="A325" s="107"/>
      <x:c r="B325" s="107"/>
      <x:c r="C325" s="107"/>
      <x:c r="D325" s="107"/>
      <x:c r="E325" s="111"/>
      <x:c r="F325" s="111"/>
      <x:c r="G325" s="109"/>
      <x:c r="H325" s="107"/>
      <x:c r="I325" s="111"/>
      <x:c r="J325" s="107"/>
      <x:c r="K325" t="str">
        <x:f>IF(COUNTA(A325:J325)=0,"",IF(OR(A325="",B325="",D325="",G325="",H325=""),"Complete entry",IF(G325&lt;=0,"Check amount",IF(H325="Cancelled","Cancelled",IF(H325="Cleared",IF(I325="","Enter cash date","Cleared"),IF(H325="Bounced","Follow up bounced",IF(F325="","Enter expected date",IF(F325&lt;'Data &amp; Targets'!$C$10,"Overdue",IF(F325&lt;'Data &amp; Targets'!$C$10+30,"Due next 30 days","Pending")))))))))</x:f>
      </x:c>
    </x:row>
    <x:row r="326" ht="22" customHeight="1">
      <x:c r="A326" s="107"/>
      <x:c r="B326" s="107"/>
      <x:c r="C326" s="107"/>
      <x:c r="D326" s="107"/>
      <x:c r="E326" s="111"/>
      <x:c r="F326" s="111"/>
      <x:c r="G326" s="109"/>
      <x:c r="H326" s="107"/>
      <x:c r="I326" s="111"/>
      <x:c r="J326" s="107"/>
      <x:c r="K326" t="str">
        <x:f>IF(COUNTA(A326:J326)=0,"",IF(OR(A326="",B326="",D326="",G326="",H326=""),"Complete entry",IF(G326&lt;=0,"Check amount",IF(H326="Cancelled","Cancelled",IF(H326="Cleared",IF(I326="","Enter cash date","Cleared"),IF(H326="Bounced","Follow up bounced",IF(F326="","Enter expected date",IF(F326&lt;'Data &amp; Targets'!$C$10,"Overdue",IF(F326&lt;'Data &amp; Targets'!$C$10+30,"Due next 30 days","Pending")))))))))</x:f>
      </x:c>
    </x:row>
    <x:row r="327" ht="22" customHeight="1">
      <x:c r="A327" s="107"/>
      <x:c r="B327" s="107"/>
      <x:c r="C327" s="107"/>
      <x:c r="D327" s="107"/>
      <x:c r="E327" s="111"/>
      <x:c r="F327" s="111"/>
      <x:c r="G327" s="109"/>
      <x:c r="H327" s="107"/>
      <x:c r="I327" s="111"/>
      <x:c r="J327" s="107"/>
      <x:c r="K327" t="str">
        <x:f>IF(COUNTA(A327:J327)=0,"",IF(OR(A327="",B327="",D327="",G327="",H327=""),"Complete entry",IF(G327&lt;=0,"Check amount",IF(H327="Cancelled","Cancelled",IF(H327="Cleared",IF(I327="","Enter cash date","Cleared"),IF(H327="Bounced","Follow up bounced",IF(F327="","Enter expected date",IF(F327&lt;'Data &amp; Targets'!$C$10,"Overdue",IF(F327&lt;'Data &amp; Targets'!$C$10+30,"Due next 30 days","Pending")))))))))</x:f>
      </x:c>
    </x:row>
    <x:row r="328" ht="22" customHeight="1">
      <x:c r="A328" s="107"/>
      <x:c r="B328" s="107"/>
      <x:c r="C328" s="107"/>
      <x:c r="D328" s="107"/>
      <x:c r="E328" s="111"/>
      <x:c r="F328" s="111"/>
      <x:c r="G328" s="109"/>
      <x:c r="H328" s="107"/>
      <x:c r="I328" s="111"/>
      <x:c r="J328" s="107"/>
      <x:c r="K328" t="str">
        <x:f>IF(COUNTA(A328:J328)=0,"",IF(OR(A328="",B328="",D328="",G328="",H328=""),"Complete entry",IF(G328&lt;=0,"Check amount",IF(H328="Cancelled","Cancelled",IF(H328="Cleared",IF(I328="","Enter cash date","Cleared"),IF(H328="Bounced","Follow up bounced",IF(F328="","Enter expected date",IF(F328&lt;'Data &amp; Targets'!$C$10,"Overdue",IF(F328&lt;'Data &amp; Targets'!$C$10+30,"Due next 30 days","Pending")))))))))</x:f>
      </x:c>
    </x:row>
    <x:row r="329" ht="22" customHeight="1">
      <x:c r="A329" s="107"/>
      <x:c r="B329" s="107"/>
      <x:c r="C329" s="107"/>
      <x:c r="D329" s="107"/>
      <x:c r="E329" s="111"/>
      <x:c r="F329" s="111"/>
      <x:c r="G329" s="109"/>
      <x:c r="H329" s="107"/>
      <x:c r="I329" s="111"/>
      <x:c r="J329" s="107"/>
      <x:c r="K329" t="str">
        <x:f>IF(COUNTA(A329:J329)=0,"",IF(OR(A329="",B329="",D329="",G329="",H329=""),"Complete entry",IF(G329&lt;=0,"Check amount",IF(H329="Cancelled","Cancelled",IF(H329="Cleared",IF(I329="","Enter cash date","Cleared"),IF(H329="Bounced","Follow up bounced",IF(F329="","Enter expected date",IF(F329&lt;'Data &amp; Targets'!$C$10,"Overdue",IF(F329&lt;'Data &amp; Targets'!$C$10+30,"Due next 30 days","Pending")))))))))</x:f>
      </x:c>
    </x:row>
    <x:row r="330" ht="22" customHeight="1">
      <x:c r="A330" s="107"/>
      <x:c r="B330" s="107"/>
      <x:c r="C330" s="107"/>
      <x:c r="D330" s="107"/>
      <x:c r="E330" s="111"/>
      <x:c r="F330" s="111"/>
      <x:c r="G330" s="109"/>
      <x:c r="H330" s="107"/>
      <x:c r="I330" s="111"/>
      <x:c r="J330" s="107"/>
      <x:c r="K330" t="str">
        <x:f>IF(COUNTA(A330:J330)=0,"",IF(OR(A330="",B330="",D330="",G330="",H330=""),"Complete entry",IF(G330&lt;=0,"Check amount",IF(H330="Cancelled","Cancelled",IF(H330="Cleared",IF(I330="","Enter cash date","Cleared"),IF(H330="Bounced","Follow up bounced",IF(F330="","Enter expected date",IF(F330&lt;'Data &amp; Targets'!$C$10,"Overdue",IF(F330&lt;'Data &amp; Targets'!$C$10+30,"Due next 30 days","Pending")))))))))</x:f>
      </x:c>
    </x:row>
    <x:row r="331" ht="22" customHeight="1">
      <x:c r="A331" s="107"/>
      <x:c r="B331" s="107"/>
      <x:c r="C331" s="107"/>
      <x:c r="D331" s="107"/>
      <x:c r="E331" s="111"/>
      <x:c r="F331" s="111"/>
      <x:c r="G331" s="109"/>
      <x:c r="H331" s="107"/>
      <x:c r="I331" s="111"/>
      <x:c r="J331" s="107"/>
      <x:c r="K331" t="str">
        <x:f>IF(COUNTA(A331:J331)=0,"",IF(OR(A331="",B331="",D331="",G331="",H331=""),"Complete entry",IF(G331&lt;=0,"Check amount",IF(H331="Cancelled","Cancelled",IF(H331="Cleared",IF(I331="","Enter cash date","Cleared"),IF(H331="Bounced","Follow up bounced",IF(F331="","Enter expected date",IF(F331&lt;'Data &amp; Targets'!$C$10,"Overdue",IF(F331&lt;'Data &amp; Targets'!$C$10+30,"Due next 30 days","Pending")))))))))</x:f>
      </x:c>
    </x:row>
    <x:row r="332" ht="22" customHeight="1">
      <x:c r="A332" s="107"/>
      <x:c r="B332" s="107"/>
      <x:c r="C332" s="107"/>
      <x:c r="D332" s="107"/>
      <x:c r="E332" s="111"/>
      <x:c r="F332" s="111"/>
      <x:c r="G332" s="109"/>
      <x:c r="H332" s="107"/>
      <x:c r="I332" s="111"/>
      <x:c r="J332" s="107"/>
      <x:c r="K332" t="str">
        <x:f>IF(COUNTA(A332:J332)=0,"",IF(OR(A332="",B332="",D332="",G332="",H332=""),"Complete entry",IF(G332&lt;=0,"Check amount",IF(H332="Cancelled","Cancelled",IF(H332="Cleared",IF(I332="","Enter cash date","Cleared"),IF(H332="Bounced","Follow up bounced",IF(F332="","Enter expected date",IF(F332&lt;'Data &amp; Targets'!$C$10,"Overdue",IF(F332&lt;'Data &amp; Targets'!$C$10+30,"Due next 30 days","Pending")))))))))</x:f>
      </x:c>
    </x:row>
    <x:row r="333" ht="22" customHeight="1">
      <x:c r="A333" s="107"/>
      <x:c r="B333" s="107"/>
      <x:c r="C333" s="107"/>
      <x:c r="D333" s="107"/>
      <x:c r="E333" s="111"/>
      <x:c r="F333" s="111"/>
      <x:c r="G333" s="109"/>
      <x:c r="H333" s="107"/>
      <x:c r="I333" s="111"/>
      <x:c r="J333" s="107"/>
      <x:c r="K333" t="str">
        <x:f>IF(COUNTA(A333:J333)=0,"",IF(OR(A333="",B333="",D333="",G333="",H333=""),"Complete entry",IF(G333&lt;=0,"Check amount",IF(H333="Cancelled","Cancelled",IF(H333="Cleared",IF(I333="","Enter cash date","Cleared"),IF(H333="Bounced","Follow up bounced",IF(F333="","Enter expected date",IF(F333&lt;'Data &amp; Targets'!$C$10,"Overdue",IF(F333&lt;'Data &amp; Targets'!$C$10+30,"Due next 30 days","Pending")))))))))</x:f>
      </x:c>
    </x:row>
    <x:row r="334" ht="22" customHeight="1">
      <x:c r="A334" s="107"/>
      <x:c r="B334" s="107"/>
      <x:c r="C334" s="107"/>
      <x:c r="D334" s="107"/>
      <x:c r="E334" s="111"/>
      <x:c r="F334" s="111"/>
      <x:c r="G334" s="109"/>
      <x:c r="H334" s="107"/>
      <x:c r="I334" s="111"/>
      <x:c r="J334" s="107"/>
      <x:c r="K334" t="str">
        <x:f>IF(COUNTA(A334:J334)=0,"",IF(OR(A334="",B334="",D334="",G334="",H334=""),"Complete entry",IF(G334&lt;=0,"Check amount",IF(H334="Cancelled","Cancelled",IF(H334="Cleared",IF(I334="","Enter cash date","Cleared"),IF(H334="Bounced","Follow up bounced",IF(F334="","Enter expected date",IF(F334&lt;'Data &amp; Targets'!$C$10,"Overdue",IF(F334&lt;'Data &amp; Targets'!$C$10+30,"Due next 30 days","Pending")))))))))</x:f>
      </x:c>
    </x:row>
    <x:row r="335" ht="22" customHeight="1">
      <x:c r="A335" s="107"/>
      <x:c r="B335" s="107"/>
      <x:c r="C335" s="107"/>
      <x:c r="D335" s="107"/>
      <x:c r="E335" s="111"/>
      <x:c r="F335" s="111"/>
      <x:c r="G335" s="109"/>
      <x:c r="H335" s="107"/>
      <x:c r="I335" s="111"/>
      <x:c r="J335" s="107"/>
      <x:c r="K335" t="str">
        <x:f>IF(COUNTA(A335:J335)=0,"",IF(OR(A335="",B335="",D335="",G335="",H335=""),"Complete entry",IF(G335&lt;=0,"Check amount",IF(H335="Cancelled","Cancelled",IF(H335="Cleared",IF(I335="","Enter cash date","Cleared"),IF(H335="Bounced","Follow up bounced",IF(F335="","Enter expected date",IF(F335&lt;'Data &amp; Targets'!$C$10,"Overdue",IF(F335&lt;'Data &amp; Targets'!$C$10+30,"Due next 30 days","Pending")))))))))</x:f>
      </x:c>
    </x:row>
    <x:row r="336" ht="22" customHeight="1">
      <x:c r="A336" s="107"/>
      <x:c r="B336" s="107"/>
      <x:c r="C336" s="107"/>
      <x:c r="D336" s="107"/>
      <x:c r="E336" s="111"/>
      <x:c r="F336" s="111"/>
      <x:c r="G336" s="109"/>
      <x:c r="H336" s="107"/>
      <x:c r="I336" s="111"/>
      <x:c r="J336" s="107"/>
      <x:c r="K336" t="str">
        <x:f>IF(COUNTA(A336:J336)=0,"",IF(OR(A336="",B336="",D336="",G336="",H336=""),"Complete entry",IF(G336&lt;=0,"Check amount",IF(H336="Cancelled","Cancelled",IF(H336="Cleared",IF(I336="","Enter cash date","Cleared"),IF(H336="Bounced","Follow up bounced",IF(F336="","Enter expected date",IF(F336&lt;'Data &amp; Targets'!$C$10,"Overdue",IF(F336&lt;'Data &amp; Targets'!$C$10+30,"Due next 30 days","Pending")))))))))</x:f>
      </x:c>
    </x:row>
    <x:row r="337" ht="22" customHeight="1">
      <x:c r="A337" s="107"/>
      <x:c r="B337" s="107"/>
      <x:c r="C337" s="107"/>
      <x:c r="D337" s="107"/>
      <x:c r="E337" s="111"/>
      <x:c r="F337" s="111"/>
      <x:c r="G337" s="109"/>
      <x:c r="H337" s="107"/>
      <x:c r="I337" s="111"/>
      <x:c r="J337" s="107"/>
      <x:c r="K337" t="str">
        <x:f>IF(COUNTA(A337:J337)=0,"",IF(OR(A337="",B337="",D337="",G337="",H337=""),"Complete entry",IF(G337&lt;=0,"Check amount",IF(H337="Cancelled","Cancelled",IF(H337="Cleared",IF(I337="","Enter cash date","Cleared"),IF(H337="Bounced","Follow up bounced",IF(F337="","Enter expected date",IF(F337&lt;'Data &amp; Targets'!$C$10,"Overdue",IF(F337&lt;'Data &amp; Targets'!$C$10+30,"Due next 30 days","Pending")))))))))</x:f>
      </x:c>
    </x:row>
    <x:row r="338" ht="22" customHeight="1">
      <x:c r="A338" s="107"/>
      <x:c r="B338" s="107"/>
      <x:c r="C338" s="107"/>
      <x:c r="D338" s="107"/>
      <x:c r="E338" s="111"/>
      <x:c r="F338" s="111"/>
      <x:c r="G338" s="109"/>
      <x:c r="H338" s="107"/>
      <x:c r="I338" s="111"/>
      <x:c r="J338" s="107"/>
      <x:c r="K338" t="str">
        <x:f>IF(COUNTA(A338:J338)=0,"",IF(OR(A338="",B338="",D338="",G338="",H338=""),"Complete entry",IF(G338&lt;=0,"Check amount",IF(H338="Cancelled","Cancelled",IF(H338="Cleared",IF(I338="","Enter cash date","Cleared"),IF(H338="Bounced","Follow up bounced",IF(F338="","Enter expected date",IF(F338&lt;'Data &amp; Targets'!$C$10,"Overdue",IF(F338&lt;'Data &amp; Targets'!$C$10+30,"Due next 30 days","Pending")))))))))</x:f>
      </x:c>
    </x:row>
    <x:row r="339" ht="22" customHeight="1">
      <x:c r="A339" s="107"/>
      <x:c r="B339" s="107"/>
      <x:c r="C339" s="107"/>
      <x:c r="D339" s="107"/>
      <x:c r="E339" s="111"/>
      <x:c r="F339" s="111"/>
      <x:c r="G339" s="109"/>
      <x:c r="H339" s="107"/>
      <x:c r="I339" s="111"/>
      <x:c r="J339" s="107"/>
      <x:c r="K339" t="str">
        <x:f>IF(COUNTA(A339:J339)=0,"",IF(OR(A339="",B339="",D339="",G339="",H339=""),"Complete entry",IF(G339&lt;=0,"Check amount",IF(H339="Cancelled","Cancelled",IF(H339="Cleared",IF(I339="","Enter cash date","Cleared"),IF(H339="Bounced","Follow up bounced",IF(F339="","Enter expected date",IF(F339&lt;'Data &amp; Targets'!$C$10,"Overdue",IF(F339&lt;'Data &amp; Targets'!$C$10+30,"Due next 30 days","Pending")))))))))</x:f>
      </x:c>
    </x:row>
    <x:row r="340" ht="22" customHeight="1">
      <x:c r="A340" s="107"/>
      <x:c r="B340" s="107"/>
      <x:c r="C340" s="107"/>
      <x:c r="D340" s="107"/>
      <x:c r="E340" s="111"/>
      <x:c r="F340" s="111"/>
      <x:c r="G340" s="109"/>
      <x:c r="H340" s="107"/>
      <x:c r="I340" s="111"/>
      <x:c r="J340" s="107"/>
      <x:c r="K340" t="str">
        <x:f>IF(COUNTA(A340:J340)=0,"",IF(OR(A340="",B340="",D340="",G340="",H340=""),"Complete entry",IF(G340&lt;=0,"Check amount",IF(H340="Cancelled","Cancelled",IF(H340="Cleared",IF(I340="","Enter cash date","Cleared"),IF(H340="Bounced","Follow up bounced",IF(F340="","Enter expected date",IF(F340&lt;'Data &amp; Targets'!$C$10,"Overdue",IF(F340&lt;'Data &amp; Targets'!$C$10+30,"Due next 30 days","Pending")))))))))</x:f>
      </x:c>
    </x:row>
    <x:row r="341" ht="22" customHeight="1">
      <x:c r="A341" s="107"/>
      <x:c r="B341" s="107"/>
      <x:c r="C341" s="107"/>
      <x:c r="D341" s="107"/>
      <x:c r="E341" s="111"/>
      <x:c r="F341" s="111"/>
      <x:c r="G341" s="109"/>
      <x:c r="H341" s="107"/>
      <x:c r="I341" s="111"/>
      <x:c r="J341" s="107"/>
      <x:c r="K341" t="str">
        <x:f>IF(COUNTA(A341:J341)=0,"",IF(OR(A341="",B341="",D341="",G341="",H341=""),"Complete entry",IF(G341&lt;=0,"Check amount",IF(H341="Cancelled","Cancelled",IF(H341="Cleared",IF(I341="","Enter cash date","Cleared"),IF(H341="Bounced","Follow up bounced",IF(F341="","Enter expected date",IF(F341&lt;'Data &amp; Targets'!$C$10,"Overdue",IF(F341&lt;'Data &amp; Targets'!$C$10+30,"Due next 30 days","Pending")))))))))</x:f>
      </x:c>
    </x:row>
    <x:row r="342" ht="22" customHeight="1">
      <x:c r="A342" s="107"/>
      <x:c r="B342" s="107"/>
      <x:c r="C342" s="107"/>
      <x:c r="D342" s="107"/>
      <x:c r="E342" s="111"/>
      <x:c r="F342" s="111"/>
      <x:c r="G342" s="109"/>
      <x:c r="H342" s="107"/>
      <x:c r="I342" s="111"/>
      <x:c r="J342" s="107"/>
      <x:c r="K342" t="str">
        <x:f>IF(COUNTA(A342:J342)=0,"",IF(OR(A342="",B342="",D342="",G342="",H342=""),"Complete entry",IF(G342&lt;=0,"Check amount",IF(H342="Cancelled","Cancelled",IF(H342="Cleared",IF(I342="","Enter cash date","Cleared"),IF(H342="Bounced","Follow up bounced",IF(F342="","Enter expected date",IF(F342&lt;'Data &amp; Targets'!$C$10,"Overdue",IF(F342&lt;'Data &amp; Targets'!$C$10+30,"Due next 30 days","Pending")))))))))</x:f>
      </x:c>
    </x:row>
    <x:row r="343" ht="22" customHeight="1">
      <x:c r="A343" s="107"/>
      <x:c r="B343" s="107"/>
      <x:c r="C343" s="107"/>
      <x:c r="D343" s="107"/>
      <x:c r="E343" s="111"/>
      <x:c r="F343" s="111"/>
      <x:c r="G343" s="109"/>
      <x:c r="H343" s="107"/>
      <x:c r="I343" s="111"/>
      <x:c r="J343" s="107"/>
      <x:c r="K343" t="str">
        <x:f>IF(COUNTA(A343:J343)=0,"",IF(OR(A343="",B343="",D343="",G343="",H343=""),"Complete entry",IF(G343&lt;=0,"Check amount",IF(H343="Cancelled","Cancelled",IF(H343="Cleared",IF(I343="","Enter cash date","Cleared"),IF(H343="Bounced","Follow up bounced",IF(F343="","Enter expected date",IF(F343&lt;'Data &amp; Targets'!$C$10,"Overdue",IF(F343&lt;'Data &amp; Targets'!$C$10+30,"Due next 30 days","Pending")))))))))</x:f>
      </x:c>
    </x:row>
    <x:row r="344" ht="22" customHeight="1">
      <x:c r="A344" s="107"/>
      <x:c r="B344" s="107"/>
      <x:c r="C344" s="107"/>
      <x:c r="D344" s="107"/>
      <x:c r="E344" s="111"/>
      <x:c r="F344" s="111"/>
      <x:c r="G344" s="109"/>
      <x:c r="H344" s="107"/>
      <x:c r="I344" s="111"/>
      <x:c r="J344" s="107"/>
      <x:c r="K344" t="str">
        <x:f>IF(COUNTA(A344:J344)=0,"",IF(OR(A344="",B344="",D344="",G344="",H344=""),"Complete entry",IF(G344&lt;=0,"Check amount",IF(H344="Cancelled","Cancelled",IF(H344="Cleared",IF(I344="","Enter cash date","Cleared"),IF(H344="Bounced","Follow up bounced",IF(F344="","Enter expected date",IF(F344&lt;'Data &amp; Targets'!$C$10,"Overdue",IF(F344&lt;'Data &amp; Targets'!$C$10+30,"Due next 30 days","Pending")))))))))</x:f>
      </x:c>
    </x:row>
    <x:row r="345" ht="22" customHeight="1">
      <x:c r="A345" s="107"/>
      <x:c r="B345" s="107"/>
      <x:c r="C345" s="107"/>
      <x:c r="D345" s="107"/>
      <x:c r="E345" s="111"/>
      <x:c r="F345" s="111"/>
      <x:c r="G345" s="109"/>
      <x:c r="H345" s="107"/>
      <x:c r="I345" s="111"/>
      <x:c r="J345" s="107"/>
      <x:c r="K345" t="str">
        <x:f>IF(COUNTA(A345:J345)=0,"",IF(OR(A345="",B345="",D345="",G345="",H345=""),"Complete entry",IF(G345&lt;=0,"Check amount",IF(H345="Cancelled","Cancelled",IF(H345="Cleared",IF(I345="","Enter cash date","Cleared"),IF(H345="Bounced","Follow up bounced",IF(F345="","Enter expected date",IF(F345&lt;'Data &amp; Targets'!$C$10,"Overdue",IF(F345&lt;'Data &amp; Targets'!$C$10+30,"Due next 30 days","Pending")))))))))</x:f>
      </x:c>
    </x:row>
    <x:row r="346" ht="22" customHeight="1">
      <x:c r="A346" s="107"/>
      <x:c r="B346" s="107"/>
      <x:c r="C346" s="107"/>
      <x:c r="D346" s="107"/>
      <x:c r="E346" s="111"/>
      <x:c r="F346" s="111"/>
      <x:c r="G346" s="109"/>
      <x:c r="H346" s="107"/>
      <x:c r="I346" s="111"/>
      <x:c r="J346" s="107"/>
      <x:c r="K346" t="str">
        <x:f>IF(COUNTA(A346:J346)=0,"",IF(OR(A346="",B346="",D346="",G346="",H346=""),"Complete entry",IF(G346&lt;=0,"Check amount",IF(H346="Cancelled","Cancelled",IF(H346="Cleared",IF(I346="","Enter cash date","Cleared"),IF(H346="Bounced","Follow up bounced",IF(F346="","Enter expected date",IF(F346&lt;'Data &amp; Targets'!$C$10,"Overdue",IF(F346&lt;'Data &amp; Targets'!$C$10+30,"Due next 30 days","Pending")))))))))</x:f>
      </x:c>
    </x:row>
    <x:row r="347" ht="22" customHeight="1">
      <x:c r="A347" s="107"/>
      <x:c r="B347" s="107"/>
      <x:c r="C347" s="107"/>
      <x:c r="D347" s="107"/>
      <x:c r="E347" s="111"/>
      <x:c r="F347" s="111"/>
      <x:c r="G347" s="109"/>
      <x:c r="H347" s="107"/>
      <x:c r="I347" s="111"/>
      <x:c r="J347" s="107"/>
      <x:c r="K347" t="str">
        <x:f>IF(COUNTA(A347:J347)=0,"",IF(OR(A347="",B347="",D347="",G347="",H347=""),"Complete entry",IF(G347&lt;=0,"Check amount",IF(H347="Cancelled","Cancelled",IF(H347="Cleared",IF(I347="","Enter cash date","Cleared"),IF(H347="Bounced","Follow up bounced",IF(F347="","Enter expected date",IF(F347&lt;'Data &amp; Targets'!$C$10,"Overdue",IF(F347&lt;'Data &amp; Targets'!$C$10+30,"Due next 30 days","Pending")))))))))</x:f>
      </x:c>
    </x:row>
    <x:row r="348" ht="22" customHeight="1">
      <x:c r="A348" s="107"/>
      <x:c r="B348" s="107"/>
      <x:c r="C348" s="107"/>
      <x:c r="D348" s="107"/>
      <x:c r="E348" s="111"/>
      <x:c r="F348" s="111"/>
      <x:c r="G348" s="109"/>
      <x:c r="H348" s="107"/>
      <x:c r="I348" s="111"/>
      <x:c r="J348" s="107"/>
      <x:c r="K348" t="str">
        <x:f>IF(COUNTA(A348:J348)=0,"",IF(OR(A348="",B348="",D348="",G348="",H348=""),"Complete entry",IF(G348&lt;=0,"Check amount",IF(H348="Cancelled","Cancelled",IF(H348="Cleared",IF(I348="","Enter cash date","Cleared"),IF(H348="Bounced","Follow up bounced",IF(F348="","Enter expected date",IF(F348&lt;'Data &amp; Targets'!$C$10,"Overdue",IF(F348&lt;'Data &amp; Targets'!$C$10+30,"Due next 30 days","Pending")))))))))</x:f>
      </x:c>
    </x:row>
    <x:row r="349" ht="22" customHeight="1">
      <x:c r="A349" s="107"/>
      <x:c r="B349" s="107"/>
      <x:c r="C349" s="107"/>
      <x:c r="D349" s="107"/>
      <x:c r="E349" s="111"/>
      <x:c r="F349" s="111"/>
      <x:c r="G349" s="109"/>
      <x:c r="H349" s="107"/>
      <x:c r="I349" s="111"/>
      <x:c r="J349" s="107"/>
      <x:c r="K349" t="str">
        <x:f>IF(COUNTA(A349:J349)=0,"",IF(OR(A349="",B349="",D349="",G349="",H349=""),"Complete entry",IF(G349&lt;=0,"Check amount",IF(H349="Cancelled","Cancelled",IF(H349="Cleared",IF(I349="","Enter cash date","Cleared"),IF(H349="Bounced","Follow up bounced",IF(F349="","Enter expected date",IF(F349&lt;'Data &amp; Targets'!$C$10,"Overdue",IF(F349&lt;'Data &amp; Targets'!$C$10+30,"Due next 30 days","Pending")))))))))</x:f>
      </x:c>
    </x:row>
    <x:row r="350" ht="22" customHeight="1">
      <x:c r="A350" s="107"/>
      <x:c r="B350" s="107"/>
      <x:c r="C350" s="107"/>
      <x:c r="D350" s="107"/>
      <x:c r="E350" s="111"/>
      <x:c r="F350" s="111"/>
      <x:c r="G350" s="109"/>
      <x:c r="H350" s="107"/>
      <x:c r="I350" s="111"/>
      <x:c r="J350" s="107"/>
      <x:c r="K350" t="str">
        <x:f>IF(COUNTA(A350:J350)=0,"",IF(OR(A350="",B350="",D350="",G350="",H350=""),"Complete entry",IF(G350&lt;=0,"Check amount",IF(H350="Cancelled","Cancelled",IF(H350="Cleared",IF(I350="","Enter cash date","Cleared"),IF(H350="Bounced","Follow up bounced",IF(F350="","Enter expected date",IF(F350&lt;'Data &amp; Targets'!$C$10,"Overdue",IF(F350&lt;'Data &amp; Targets'!$C$10+30,"Due next 30 days","Pending")))))))))</x:f>
      </x:c>
    </x:row>
    <x:row r="351" ht="22" customHeight="1">
      <x:c r="A351" s="107"/>
      <x:c r="B351" s="107"/>
      <x:c r="C351" s="107"/>
      <x:c r="D351" s="107"/>
      <x:c r="E351" s="111"/>
      <x:c r="F351" s="111"/>
      <x:c r="G351" s="109"/>
      <x:c r="H351" s="107"/>
      <x:c r="I351" s="111"/>
      <x:c r="J351" s="107"/>
      <x:c r="K351" t="str">
        <x:f>IF(COUNTA(A351:J351)=0,"",IF(OR(A351="",B351="",D351="",G351="",H351=""),"Complete entry",IF(G351&lt;=0,"Check amount",IF(H351="Cancelled","Cancelled",IF(H351="Cleared",IF(I351="","Enter cash date","Cleared"),IF(H351="Bounced","Follow up bounced",IF(F351="","Enter expected date",IF(F351&lt;'Data &amp; Targets'!$C$10,"Overdue",IF(F351&lt;'Data &amp; Targets'!$C$10+30,"Due next 30 days","Pending")))))))))</x:f>
      </x:c>
    </x:row>
    <x:row r="352" ht="22" customHeight="1">
      <x:c r="A352" s="107"/>
      <x:c r="B352" s="107"/>
      <x:c r="C352" s="107"/>
      <x:c r="D352" s="107"/>
      <x:c r="E352" s="111"/>
      <x:c r="F352" s="111"/>
      <x:c r="G352" s="109"/>
      <x:c r="H352" s="107"/>
      <x:c r="I352" s="111"/>
      <x:c r="J352" s="107"/>
      <x:c r="K352" t="str">
        <x:f>IF(COUNTA(A352:J352)=0,"",IF(OR(A352="",B352="",D352="",G352="",H352=""),"Complete entry",IF(G352&lt;=0,"Check amount",IF(H352="Cancelled","Cancelled",IF(H352="Cleared",IF(I352="","Enter cash date","Cleared"),IF(H352="Bounced","Follow up bounced",IF(F352="","Enter expected date",IF(F352&lt;'Data &amp; Targets'!$C$10,"Overdue",IF(F352&lt;'Data &amp; Targets'!$C$10+30,"Due next 30 days","Pending")))))))))</x:f>
      </x:c>
    </x:row>
    <x:row r="353" ht="22" customHeight="1">
      <x:c r="A353" s="107"/>
      <x:c r="B353" s="107"/>
      <x:c r="C353" s="107"/>
      <x:c r="D353" s="107"/>
      <x:c r="E353" s="111"/>
      <x:c r="F353" s="111"/>
      <x:c r="G353" s="109"/>
      <x:c r="H353" s="107"/>
      <x:c r="I353" s="111"/>
      <x:c r="J353" s="107"/>
      <x:c r="K353" t="str">
        <x:f>IF(COUNTA(A353:J353)=0,"",IF(OR(A353="",B353="",D353="",G353="",H353=""),"Complete entry",IF(G353&lt;=0,"Check amount",IF(H353="Cancelled","Cancelled",IF(H353="Cleared",IF(I353="","Enter cash date","Cleared"),IF(H353="Bounced","Follow up bounced",IF(F353="","Enter expected date",IF(F353&lt;'Data &amp; Targets'!$C$10,"Overdue",IF(F353&lt;'Data &amp; Targets'!$C$10+30,"Due next 30 days","Pending")))))))))</x:f>
      </x:c>
    </x:row>
    <x:row r="354" ht="22" customHeight="1">
      <x:c r="A354" s="107"/>
      <x:c r="B354" s="107"/>
      <x:c r="C354" s="107"/>
      <x:c r="D354" s="107"/>
      <x:c r="E354" s="111"/>
      <x:c r="F354" s="111"/>
      <x:c r="G354" s="109"/>
      <x:c r="H354" s="107"/>
      <x:c r="I354" s="111"/>
      <x:c r="J354" s="107"/>
      <x:c r="K354" t="str">
        <x:f>IF(COUNTA(A354:J354)=0,"",IF(OR(A354="",B354="",D354="",G354="",H354=""),"Complete entry",IF(G354&lt;=0,"Check amount",IF(H354="Cancelled","Cancelled",IF(H354="Cleared",IF(I354="","Enter cash date","Cleared"),IF(H354="Bounced","Follow up bounced",IF(F354="","Enter expected date",IF(F354&lt;'Data &amp; Targets'!$C$10,"Overdue",IF(F354&lt;'Data &amp; Targets'!$C$10+30,"Due next 30 days","Pending")))))))))</x:f>
      </x:c>
    </x:row>
    <x:row r="355" ht="22" customHeight="1">
      <x:c r="A355" s="107"/>
      <x:c r="B355" s="107"/>
      <x:c r="C355" s="107"/>
      <x:c r="D355" s="107"/>
      <x:c r="E355" s="111"/>
      <x:c r="F355" s="111"/>
      <x:c r="G355" s="109"/>
      <x:c r="H355" s="107"/>
      <x:c r="I355" s="111"/>
      <x:c r="J355" s="107"/>
      <x:c r="K355" t="str">
        <x:f>IF(COUNTA(A355:J355)=0,"",IF(OR(A355="",B355="",D355="",G355="",H355=""),"Complete entry",IF(G355&lt;=0,"Check amount",IF(H355="Cancelled","Cancelled",IF(H355="Cleared",IF(I355="","Enter cash date","Cleared"),IF(H355="Bounced","Follow up bounced",IF(F355="","Enter expected date",IF(F355&lt;'Data &amp; Targets'!$C$10,"Overdue",IF(F355&lt;'Data &amp; Targets'!$C$10+30,"Due next 30 days","Pending")))))))))</x:f>
      </x:c>
    </x:row>
    <x:row r="356" ht="22" customHeight="1">
      <x:c r="A356" s="107"/>
      <x:c r="B356" s="107"/>
      <x:c r="C356" s="107"/>
      <x:c r="D356" s="107"/>
      <x:c r="E356" s="111"/>
      <x:c r="F356" s="111"/>
      <x:c r="G356" s="109"/>
      <x:c r="H356" s="107"/>
      <x:c r="I356" s="111"/>
      <x:c r="J356" s="107"/>
      <x:c r="K356" t="str">
        <x:f>IF(COUNTA(A356:J356)=0,"",IF(OR(A356="",B356="",D356="",G356="",H356=""),"Complete entry",IF(G356&lt;=0,"Check amount",IF(H356="Cancelled","Cancelled",IF(H356="Cleared",IF(I356="","Enter cash date","Cleared"),IF(H356="Bounced","Follow up bounced",IF(F356="","Enter expected date",IF(F356&lt;'Data &amp; Targets'!$C$10,"Overdue",IF(F356&lt;'Data &amp; Targets'!$C$10+30,"Due next 30 days","Pending")))))))))</x:f>
      </x:c>
    </x:row>
    <x:row r="357" ht="22" customHeight="1">
      <x:c r="A357" s="107"/>
      <x:c r="B357" s="107"/>
      <x:c r="C357" s="107"/>
      <x:c r="D357" s="107"/>
      <x:c r="E357" s="111"/>
      <x:c r="F357" s="111"/>
      <x:c r="G357" s="109"/>
      <x:c r="H357" s="107"/>
      <x:c r="I357" s="111"/>
      <x:c r="J357" s="107"/>
      <x:c r="K357" t="str">
        <x:f>IF(COUNTA(A357:J357)=0,"",IF(OR(A357="",B357="",D357="",G357="",H357=""),"Complete entry",IF(G357&lt;=0,"Check amount",IF(H357="Cancelled","Cancelled",IF(H357="Cleared",IF(I357="","Enter cash date","Cleared"),IF(H357="Bounced","Follow up bounced",IF(F357="","Enter expected date",IF(F357&lt;'Data &amp; Targets'!$C$10,"Overdue",IF(F357&lt;'Data &amp; Targets'!$C$10+30,"Due next 30 days","Pending")))))))))</x:f>
      </x:c>
    </x:row>
    <x:row r="358" ht="22" customHeight="1">
      <x:c r="A358" s="107"/>
      <x:c r="B358" s="107"/>
      <x:c r="C358" s="107"/>
      <x:c r="D358" s="107"/>
      <x:c r="E358" s="111"/>
      <x:c r="F358" s="111"/>
      <x:c r="G358" s="109"/>
      <x:c r="H358" s="107"/>
      <x:c r="I358" s="111"/>
      <x:c r="J358" s="107"/>
      <x:c r="K358" t="str">
        <x:f>IF(COUNTA(A358:J358)=0,"",IF(OR(A358="",B358="",D358="",G358="",H358=""),"Complete entry",IF(G358&lt;=0,"Check amount",IF(H358="Cancelled","Cancelled",IF(H358="Cleared",IF(I358="","Enter cash date","Cleared"),IF(H358="Bounced","Follow up bounced",IF(F358="","Enter expected date",IF(F358&lt;'Data &amp; Targets'!$C$10,"Overdue",IF(F358&lt;'Data &amp; Targets'!$C$10+30,"Due next 30 days","Pending")))))))))</x:f>
      </x:c>
    </x:row>
    <x:row r="359" ht="22" customHeight="1">
      <x:c r="A359" s="107"/>
      <x:c r="B359" s="107"/>
      <x:c r="C359" s="107"/>
      <x:c r="D359" s="107"/>
      <x:c r="E359" s="111"/>
      <x:c r="F359" s="111"/>
      <x:c r="G359" s="109"/>
      <x:c r="H359" s="107"/>
      <x:c r="I359" s="111"/>
      <x:c r="J359" s="107"/>
      <x:c r="K359" t="str">
        <x:f>IF(COUNTA(A359:J359)=0,"",IF(OR(A359="",B359="",D359="",G359="",H359=""),"Complete entry",IF(G359&lt;=0,"Check amount",IF(H359="Cancelled","Cancelled",IF(H359="Cleared",IF(I359="","Enter cash date","Cleared"),IF(H359="Bounced","Follow up bounced",IF(F359="","Enter expected date",IF(F359&lt;'Data &amp; Targets'!$C$10,"Overdue",IF(F359&lt;'Data &amp; Targets'!$C$10+30,"Due next 30 days","Pending")))))))))</x:f>
      </x:c>
    </x:row>
    <x:row r="360" ht="22" customHeight="1">
      <x:c r="A360" s="107"/>
      <x:c r="B360" s="107"/>
      <x:c r="C360" s="107"/>
      <x:c r="D360" s="107"/>
      <x:c r="E360" s="111"/>
      <x:c r="F360" s="111"/>
      <x:c r="G360" s="109"/>
      <x:c r="H360" s="107"/>
      <x:c r="I360" s="111"/>
      <x:c r="J360" s="107"/>
      <x:c r="K360" t="str">
        <x:f>IF(COUNTA(A360:J360)=0,"",IF(OR(A360="",B360="",D360="",G360="",H360=""),"Complete entry",IF(G360&lt;=0,"Check amount",IF(H360="Cancelled","Cancelled",IF(H360="Cleared",IF(I360="","Enter cash date","Cleared"),IF(H360="Bounced","Follow up bounced",IF(F360="","Enter expected date",IF(F360&lt;'Data &amp; Targets'!$C$10,"Overdue",IF(F360&lt;'Data &amp; Targets'!$C$10+30,"Due next 30 days","Pending")))))))))</x:f>
      </x:c>
    </x:row>
    <x:row r="361" ht="22" customHeight="1">
      <x:c r="A361" s="107"/>
      <x:c r="B361" s="107"/>
      <x:c r="C361" s="107"/>
      <x:c r="D361" s="107"/>
      <x:c r="E361" s="111"/>
      <x:c r="F361" s="111"/>
      <x:c r="G361" s="109"/>
      <x:c r="H361" s="107"/>
      <x:c r="I361" s="111"/>
      <x:c r="J361" s="107"/>
      <x:c r="K361" t="str">
        <x:f>IF(COUNTA(A361:J361)=0,"",IF(OR(A361="",B361="",D361="",G361="",H361=""),"Complete entry",IF(G361&lt;=0,"Check amount",IF(H361="Cancelled","Cancelled",IF(H361="Cleared",IF(I361="","Enter cash date","Cleared"),IF(H361="Bounced","Follow up bounced",IF(F361="","Enter expected date",IF(F361&lt;'Data &amp; Targets'!$C$10,"Overdue",IF(F361&lt;'Data &amp; Targets'!$C$10+30,"Due next 30 days","Pending")))))))))</x:f>
      </x:c>
    </x:row>
    <x:row r="362" ht="22" customHeight="1">
      <x:c r="A362" s="107"/>
      <x:c r="B362" s="107"/>
      <x:c r="C362" s="107"/>
      <x:c r="D362" s="107"/>
      <x:c r="E362" s="111"/>
      <x:c r="F362" s="111"/>
      <x:c r="G362" s="109"/>
      <x:c r="H362" s="107"/>
      <x:c r="I362" s="111"/>
      <x:c r="J362" s="107"/>
      <x:c r="K362" t="str">
        <x:f>IF(COUNTA(A362:J362)=0,"",IF(OR(A362="",B362="",D362="",G362="",H362=""),"Complete entry",IF(G362&lt;=0,"Check amount",IF(H362="Cancelled","Cancelled",IF(H362="Cleared",IF(I362="","Enter cash date","Cleared"),IF(H362="Bounced","Follow up bounced",IF(F362="","Enter expected date",IF(F362&lt;'Data &amp; Targets'!$C$10,"Overdue",IF(F362&lt;'Data &amp; Targets'!$C$10+30,"Due next 30 days","Pending")))))))))</x:f>
      </x:c>
    </x:row>
    <x:row r="363" ht="22" customHeight="1">
      <x:c r="A363" s="107"/>
      <x:c r="B363" s="107"/>
      <x:c r="C363" s="107"/>
      <x:c r="D363" s="107"/>
      <x:c r="E363" s="111"/>
      <x:c r="F363" s="111"/>
      <x:c r="G363" s="109"/>
      <x:c r="H363" s="107"/>
      <x:c r="I363" s="111"/>
      <x:c r="J363" s="107"/>
      <x:c r="K363" t="str">
        <x:f>IF(COUNTA(A363:J363)=0,"",IF(OR(A363="",B363="",D363="",G363="",H363=""),"Complete entry",IF(G363&lt;=0,"Check amount",IF(H363="Cancelled","Cancelled",IF(H363="Cleared",IF(I363="","Enter cash date","Cleared"),IF(H363="Bounced","Follow up bounced",IF(F363="","Enter expected date",IF(F363&lt;'Data &amp; Targets'!$C$10,"Overdue",IF(F363&lt;'Data &amp; Targets'!$C$10+30,"Due next 30 days","Pending")))))))))</x:f>
      </x:c>
    </x:row>
    <x:row r="364" ht="22" customHeight="1">
      <x:c r="A364" s="107"/>
      <x:c r="B364" s="107"/>
      <x:c r="C364" s="107"/>
      <x:c r="D364" s="107"/>
      <x:c r="E364" s="111"/>
      <x:c r="F364" s="111"/>
      <x:c r="G364" s="109"/>
      <x:c r="H364" s="107"/>
      <x:c r="I364" s="111"/>
      <x:c r="J364" s="107"/>
      <x:c r="K364" t="str">
        <x:f>IF(COUNTA(A364:J364)=0,"",IF(OR(A364="",B364="",D364="",G364="",H364=""),"Complete entry",IF(G364&lt;=0,"Check amount",IF(H364="Cancelled","Cancelled",IF(H364="Cleared",IF(I364="","Enter cash date","Cleared"),IF(H364="Bounced","Follow up bounced",IF(F364="","Enter expected date",IF(F364&lt;'Data &amp; Targets'!$C$10,"Overdue",IF(F364&lt;'Data &amp; Targets'!$C$10+30,"Due next 30 days","Pending")))))))))</x:f>
      </x:c>
    </x:row>
    <x:row r="365" ht="22" customHeight="1">
      <x:c r="A365" s="107"/>
      <x:c r="B365" s="107"/>
      <x:c r="C365" s="107"/>
      <x:c r="D365" s="107"/>
      <x:c r="E365" s="111"/>
      <x:c r="F365" s="111"/>
      <x:c r="G365" s="109"/>
      <x:c r="H365" s="107"/>
      <x:c r="I365" s="111"/>
      <x:c r="J365" s="107"/>
      <x:c r="K365" t="str">
        <x:f>IF(COUNTA(A365:J365)=0,"",IF(OR(A365="",B365="",D365="",G365="",H365=""),"Complete entry",IF(G365&lt;=0,"Check amount",IF(H365="Cancelled","Cancelled",IF(H365="Cleared",IF(I365="","Enter cash date","Cleared"),IF(H365="Bounced","Follow up bounced",IF(F365="","Enter expected date",IF(F365&lt;'Data &amp; Targets'!$C$10,"Overdue",IF(F365&lt;'Data &amp; Targets'!$C$10+30,"Due next 30 days","Pending")))))))))</x:f>
      </x:c>
    </x:row>
    <x:row r="366" ht="22" customHeight="1">
      <x:c r="A366" s="107"/>
      <x:c r="B366" s="107"/>
      <x:c r="C366" s="107"/>
      <x:c r="D366" s="107"/>
      <x:c r="E366" s="111"/>
      <x:c r="F366" s="111"/>
      <x:c r="G366" s="109"/>
      <x:c r="H366" s="107"/>
      <x:c r="I366" s="111"/>
      <x:c r="J366" s="107"/>
      <x:c r="K366" t="str">
        <x:f>IF(COUNTA(A366:J366)=0,"",IF(OR(A366="",B366="",D366="",G366="",H366=""),"Complete entry",IF(G366&lt;=0,"Check amount",IF(H366="Cancelled","Cancelled",IF(H366="Cleared",IF(I366="","Enter cash date","Cleared"),IF(H366="Bounced","Follow up bounced",IF(F366="","Enter expected date",IF(F366&lt;'Data &amp; Targets'!$C$10,"Overdue",IF(F366&lt;'Data &amp; Targets'!$C$10+30,"Due next 30 days","Pending")))))))))</x:f>
      </x:c>
    </x:row>
    <x:row r="367" ht="22" customHeight="1">
      <x:c r="A367" s="107"/>
      <x:c r="B367" s="107"/>
      <x:c r="C367" s="107"/>
      <x:c r="D367" s="107"/>
      <x:c r="E367" s="111"/>
      <x:c r="F367" s="111"/>
      <x:c r="G367" s="109"/>
      <x:c r="H367" s="107"/>
      <x:c r="I367" s="111"/>
      <x:c r="J367" s="107"/>
      <x:c r="K367" t="str">
        <x:f>IF(COUNTA(A367:J367)=0,"",IF(OR(A367="",B367="",D367="",G367="",H367=""),"Complete entry",IF(G367&lt;=0,"Check amount",IF(H367="Cancelled","Cancelled",IF(H367="Cleared",IF(I367="","Enter cash date","Cleared"),IF(H367="Bounced","Follow up bounced",IF(F367="","Enter expected date",IF(F367&lt;'Data &amp; Targets'!$C$10,"Overdue",IF(F367&lt;'Data &amp; Targets'!$C$10+30,"Due next 30 days","Pending")))))))))</x:f>
      </x:c>
    </x:row>
    <x:row r="368" ht="22" customHeight="1">
      <x:c r="A368" s="107"/>
      <x:c r="B368" s="107"/>
      <x:c r="C368" s="107"/>
      <x:c r="D368" s="107"/>
      <x:c r="E368" s="111"/>
      <x:c r="F368" s="111"/>
      <x:c r="G368" s="109"/>
      <x:c r="H368" s="107"/>
      <x:c r="I368" s="111"/>
      <x:c r="J368" s="107"/>
      <x:c r="K368" t="str">
        <x:f>IF(COUNTA(A368:J368)=0,"",IF(OR(A368="",B368="",D368="",G368="",H368=""),"Complete entry",IF(G368&lt;=0,"Check amount",IF(H368="Cancelled","Cancelled",IF(H368="Cleared",IF(I368="","Enter cash date","Cleared"),IF(H368="Bounced","Follow up bounced",IF(F368="","Enter expected date",IF(F368&lt;'Data &amp; Targets'!$C$10,"Overdue",IF(F368&lt;'Data &amp; Targets'!$C$10+30,"Due next 30 days","Pending")))))))))</x:f>
      </x:c>
    </x:row>
    <x:row r="369" ht="22" customHeight="1">
      <x:c r="A369" s="107"/>
      <x:c r="B369" s="107"/>
      <x:c r="C369" s="107"/>
      <x:c r="D369" s="107"/>
      <x:c r="E369" s="111"/>
      <x:c r="F369" s="111"/>
      <x:c r="G369" s="109"/>
      <x:c r="H369" s="107"/>
      <x:c r="I369" s="111"/>
      <x:c r="J369" s="107"/>
      <x:c r="K369" t="str">
        <x:f>IF(COUNTA(A369:J369)=0,"",IF(OR(A369="",B369="",D369="",G369="",H369=""),"Complete entry",IF(G369&lt;=0,"Check amount",IF(H369="Cancelled","Cancelled",IF(H369="Cleared",IF(I369="","Enter cash date","Cleared"),IF(H369="Bounced","Follow up bounced",IF(F369="","Enter expected date",IF(F369&lt;'Data &amp; Targets'!$C$10,"Overdue",IF(F369&lt;'Data &amp; Targets'!$C$10+30,"Due next 30 days","Pending")))))))))</x:f>
      </x:c>
    </x:row>
    <x:row r="370" ht="22" customHeight="1">
      <x:c r="A370" s="107"/>
      <x:c r="B370" s="107"/>
      <x:c r="C370" s="107"/>
      <x:c r="D370" s="107"/>
      <x:c r="E370" s="111"/>
      <x:c r="F370" s="111"/>
      <x:c r="G370" s="109"/>
      <x:c r="H370" s="107"/>
      <x:c r="I370" s="111"/>
      <x:c r="J370" s="107"/>
      <x:c r="K370" t="str">
        <x:f>IF(COUNTA(A370:J370)=0,"",IF(OR(A370="",B370="",D370="",G370="",H370=""),"Complete entry",IF(G370&lt;=0,"Check amount",IF(H370="Cancelled","Cancelled",IF(H370="Cleared",IF(I370="","Enter cash date","Cleared"),IF(H370="Bounced","Follow up bounced",IF(F370="","Enter expected date",IF(F370&lt;'Data &amp; Targets'!$C$10,"Overdue",IF(F370&lt;'Data &amp; Targets'!$C$10+30,"Due next 30 days","Pending")))))))))</x:f>
      </x:c>
    </x:row>
    <x:row r="371" ht="22" customHeight="1">
      <x:c r="A371" s="107"/>
      <x:c r="B371" s="107"/>
      <x:c r="C371" s="107"/>
      <x:c r="D371" s="107"/>
      <x:c r="E371" s="111"/>
      <x:c r="F371" s="111"/>
      <x:c r="G371" s="109"/>
      <x:c r="H371" s="107"/>
      <x:c r="I371" s="111"/>
      <x:c r="J371" s="107"/>
      <x:c r="K371" t="str">
        <x:f>IF(COUNTA(A371:J371)=0,"",IF(OR(A371="",B371="",D371="",G371="",H371=""),"Complete entry",IF(G371&lt;=0,"Check amount",IF(H371="Cancelled","Cancelled",IF(H371="Cleared",IF(I371="","Enter cash date","Cleared"),IF(H371="Bounced","Follow up bounced",IF(F371="","Enter expected date",IF(F371&lt;'Data &amp; Targets'!$C$10,"Overdue",IF(F371&lt;'Data &amp; Targets'!$C$10+30,"Due next 30 days","Pending")))))))))</x:f>
      </x:c>
    </x:row>
    <x:row r="372" ht="22" customHeight="1">
      <x:c r="A372" s="107"/>
      <x:c r="B372" s="107"/>
      <x:c r="C372" s="107"/>
      <x:c r="D372" s="107"/>
      <x:c r="E372" s="111"/>
      <x:c r="F372" s="111"/>
      <x:c r="G372" s="109"/>
      <x:c r="H372" s="107"/>
      <x:c r="I372" s="111"/>
      <x:c r="J372" s="107"/>
      <x:c r="K372" t="str">
        <x:f>IF(COUNTA(A372:J372)=0,"",IF(OR(A372="",B372="",D372="",G372="",H372=""),"Complete entry",IF(G372&lt;=0,"Check amount",IF(H372="Cancelled","Cancelled",IF(H372="Cleared",IF(I372="","Enter cash date","Cleared"),IF(H372="Bounced","Follow up bounced",IF(F372="","Enter expected date",IF(F372&lt;'Data &amp; Targets'!$C$10,"Overdue",IF(F372&lt;'Data &amp; Targets'!$C$10+30,"Due next 30 days","Pending")))))))))</x:f>
      </x:c>
    </x:row>
    <x:row r="373" ht="22" customHeight="1">
      <x:c r="A373" s="107"/>
      <x:c r="B373" s="107"/>
      <x:c r="C373" s="107"/>
      <x:c r="D373" s="107"/>
      <x:c r="E373" s="111"/>
      <x:c r="F373" s="111"/>
      <x:c r="G373" s="109"/>
      <x:c r="H373" s="107"/>
      <x:c r="I373" s="111"/>
      <x:c r="J373" s="107"/>
      <x:c r="K373" t="str">
        <x:f>IF(COUNTA(A373:J373)=0,"",IF(OR(A373="",B373="",D373="",G373="",H373=""),"Complete entry",IF(G373&lt;=0,"Check amount",IF(H373="Cancelled","Cancelled",IF(H373="Cleared",IF(I373="","Enter cash date","Cleared"),IF(H373="Bounced","Follow up bounced",IF(F373="","Enter expected date",IF(F373&lt;'Data &amp; Targets'!$C$10,"Overdue",IF(F373&lt;'Data &amp; Targets'!$C$10+30,"Due next 30 days","Pending")))))))))</x:f>
      </x:c>
    </x:row>
    <x:row r="374" ht="22" customHeight="1">
      <x:c r="A374" s="107"/>
      <x:c r="B374" s="107"/>
      <x:c r="C374" s="107"/>
      <x:c r="D374" s="107"/>
      <x:c r="E374" s="111"/>
      <x:c r="F374" s="111"/>
      <x:c r="G374" s="109"/>
      <x:c r="H374" s="107"/>
      <x:c r="I374" s="111"/>
      <x:c r="J374" s="107"/>
      <x:c r="K374" t="str">
        <x:f>IF(COUNTA(A374:J374)=0,"",IF(OR(A374="",B374="",D374="",G374="",H374=""),"Complete entry",IF(G374&lt;=0,"Check amount",IF(H374="Cancelled","Cancelled",IF(H374="Cleared",IF(I374="","Enter cash date","Cleared"),IF(H374="Bounced","Follow up bounced",IF(F374="","Enter expected date",IF(F374&lt;'Data &amp; Targets'!$C$10,"Overdue",IF(F374&lt;'Data &amp; Targets'!$C$10+30,"Due next 30 days","Pending")))))))))</x:f>
      </x:c>
    </x:row>
    <x:row r="375" ht="22" customHeight="1">
      <x:c r="A375" s="107"/>
      <x:c r="B375" s="107"/>
      <x:c r="C375" s="107"/>
      <x:c r="D375" s="107"/>
      <x:c r="E375" s="111"/>
      <x:c r="F375" s="111"/>
      <x:c r="G375" s="109"/>
      <x:c r="H375" s="107"/>
      <x:c r="I375" s="111"/>
      <x:c r="J375" s="107"/>
      <x:c r="K375" t="str">
        <x:f>IF(COUNTA(A375:J375)=0,"",IF(OR(A375="",B375="",D375="",G375="",H375=""),"Complete entry",IF(G375&lt;=0,"Check amount",IF(H375="Cancelled","Cancelled",IF(H375="Cleared",IF(I375="","Enter cash date","Cleared"),IF(H375="Bounced","Follow up bounced",IF(F375="","Enter expected date",IF(F375&lt;'Data &amp; Targets'!$C$10,"Overdue",IF(F375&lt;'Data &amp; Targets'!$C$10+30,"Due next 30 days","Pending")))))))))</x:f>
      </x:c>
    </x:row>
    <x:row r="376" ht="22" customHeight="1">
      <x:c r="A376" s="107"/>
      <x:c r="B376" s="107"/>
      <x:c r="C376" s="107"/>
      <x:c r="D376" s="107"/>
      <x:c r="E376" s="111"/>
      <x:c r="F376" s="111"/>
      <x:c r="G376" s="109"/>
      <x:c r="H376" s="107"/>
      <x:c r="I376" s="111"/>
      <x:c r="J376" s="107"/>
      <x:c r="K376" t="str">
        <x:f>IF(COUNTA(A376:J376)=0,"",IF(OR(A376="",B376="",D376="",G376="",H376=""),"Complete entry",IF(G376&lt;=0,"Check amount",IF(H376="Cancelled","Cancelled",IF(H376="Cleared",IF(I376="","Enter cash date","Cleared"),IF(H376="Bounced","Follow up bounced",IF(F376="","Enter expected date",IF(F376&lt;'Data &amp; Targets'!$C$10,"Overdue",IF(F376&lt;'Data &amp; Targets'!$C$10+30,"Due next 30 days","Pending")))))))))</x:f>
      </x:c>
    </x:row>
    <x:row r="377" ht="22" customHeight="1">
      <x:c r="A377" s="107"/>
      <x:c r="B377" s="107"/>
      <x:c r="C377" s="107"/>
      <x:c r="D377" s="107"/>
      <x:c r="E377" s="111"/>
      <x:c r="F377" s="111"/>
      <x:c r="G377" s="109"/>
      <x:c r="H377" s="107"/>
      <x:c r="I377" s="111"/>
      <x:c r="J377" s="107"/>
      <x:c r="K377" t="str">
        <x:f>IF(COUNTA(A377:J377)=0,"",IF(OR(A377="",B377="",D377="",G377="",H377=""),"Complete entry",IF(G377&lt;=0,"Check amount",IF(H377="Cancelled","Cancelled",IF(H377="Cleared",IF(I377="","Enter cash date","Cleared"),IF(H377="Bounced","Follow up bounced",IF(F377="","Enter expected date",IF(F377&lt;'Data &amp; Targets'!$C$10,"Overdue",IF(F377&lt;'Data &amp; Targets'!$C$10+30,"Due next 30 days","Pending")))))))))</x:f>
      </x:c>
    </x:row>
    <x:row r="378" ht="22" customHeight="1">
      <x:c r="A378" s="107"/>
      <x:c r="B378" s="107"/>
      <x:c r="C378" s="107"/>
      <x:c r="D378" s="107"/>
      <x:c r="E378" s="111"/>
      <x:c r="F378" s="111"/>
      <x:c r="G378" s="109"/>
      <x:c r="H378" s="107"/>
      <x:c r="I378" s="111"/>
      <x:c r="J378" s="107"/>
      <x:c r="K378" t="str">
        <x:f>IF(COUNTA(A378:J378)=0,"",IF(OR(A378="",B378="",D378="",G378="",H378=""),"Complete entry",IF(G378&lt;=0,"Check amount",IF(H378="Cancelled","Cancelled",IF(H378="Cleared",IF(I378="","Enter cash date","Cleared"),IF(H378="Bounced","Follow up bounced",IF(F378="","Enter expected date",IF(F378&lt;'Data &amp; Targets'!$C$10,"Overdue",IF(F378&lt;'Data &amp; Targets'!$C$10+30,"Due next 30 days","Pending")))))))))</x:f>
      </x:c>
    </x:row>
    <x:row r="379" ht="22" customHeight="1">
      <x:c r="A379" s="107"/>
      <x:c r="B379" s="107"/>
      <x:c r="C379" s="107"/>
      <x:c r="D379" s="107"/>
      <x:c r="E379" s="111"/>
      <x:c r="F379" s="111"/>
      <x:c r="G379" s="109"/>
      <x:c r="H379" s="107"/>
      <x:c r="I379" s="111"/>
      <x:c r="J379" s="107"/>
      <x:c r="K379" t="str">
        <x:f>IF(COUNTA(A379:J379)=0,"",IF(OR(A379="",B379="",D379="",G379="",H379=""),"Complete entry",IF(G379&lt;=0,"Check amount",IF(H379="Cancelled","Cancelled",IF(H379="Cleared",IF(I379="","Enter cash date","Cleared"),IF(H379="Bounced","Follow up bounced",IF(F379="","Enter expected date",IF(F379&lt;'Data &amp; Targets'!$C$10,"Overdue",IF(F379&lt;'Data &amp; Targets'!$C$10+30,"Due next 30 days","Pending")))))))))</x:f>
      </x:c>
    </x:row>
    <x:row r="380" ht="22" customHeight="1">
      <x:c r="A380" s="107"/>
      <x:c r="B380" s="107"/>
      <x:c r="C380" s="107"/>
      <x:c r="D380" s="107"/>
      <x:c r="E380" s="111"/>
      <x:c r="F380" s="111"/>
      <x:c r="G380" s="109"/>
      <x:c r="H380" s="107"/>
      <x:c r="I380" s="111"/>
      <x:c r="J380" s="107"/>
      <x:c r="K380" t="str">
        <x:f>IF(COUNTA(A380:J380)=0,"",IF(OR(A380="",B380="",D380="",G380="",H380=""),"Complete entry",IF(G380&lt;=0,"Check amount",IF(H380="Cancelled","Cancelled",IF(H380="Cleared",IF(I380="","Enter cash date","Cleared"),IF(H380="Bounced","Follow up bounced",IF(F380="","Enter expected date",IF(F380&lt;'Data &amp; Targets'!$C$10,"Overdue",IF(F380&lt;'Data &amp; Targets'!$C$10+30,"Due next 30 days","Pending")))))))))</x:f>
      </x:c>
    </x:row>
    <x:row r="381" ht="22" customHeight="1">
      <x:c r="A381" s="107"/>
      <x:c r="B381" s="107"/>
      <x:c r="C381" s="107"/>
      <x:c r="D381" s="107"/>
      <x:c r="E381" s="111"/>
      <x:c r="F381" s="111"/>
      <x:c r="G381" s="109"/>
      <x:c r="H381" s="107"/>
      <x:c r="I381" s="111"/>
      <x:c r="J381" s="107"/>
      <x:c r="K381" t="str">
        <x:f>IF(COUNTA(A381:J381)=0,"",IF(OR(A381="",B381="",D381="",G381="",H381=""),"Complete entry",IF(G381&lt;=0,"Check amount",IF(H381="Cancelled","Cancelled",IF(H381="Cleared",IF(I381="","Enter cash date","Cleared"),IF(H381="Bounced","Follow up bounced",IF(F381="","Enter expected date",IF(F381&lt;'Data &amp; Targets'!$C$10,"Overdue",IF(F381&lt;'Data &amp; Targets'!$C$10+30,"Due next 30 days","Pending")))))))))</x:f>
      </x:c>
    </x:row>
    <x:row r="382" ht="22" customHeight="1">
      <x:c r="A382" s="107"/>
      <x:c r="B382" s="107"/>
      <x:c r="C382" s="107"/>
      <x:c r="D382" s="107"/>
      <x:c r="E382" s="111"/>
      <x:c r="F382" s="111"/>
      <x:c r="G382" s="109"/>
      <x:c r="H382" s="107"/>
      <x:c r="I382" s="111"/>
      <x:c r="J382" s="107"/>
      <x:c r="K382" t="str">
        <x:f>IF(COUNTA(A382:J382)=0,"",IF(OR(A382="",B382="",D382="",G382="",H382=""),"Complete entry",IF(G382&lt;=0,"Check amount",IF(H382="Cancelled","Cancelled",IF(H382="Cleared",IF(I382="","Enter cash date","Cleared"),IF(H382="Bounced","Follow up bounced",IF(F382="","Enter expected date",IF(F382&lt;'Data &amp; Targets'!$C$10,"Overdue",IF(F382&lt;'Data &amp; Targets'!$C$10+30,"Due next 30 days","Pending")))))))))</x:f>
      </x:c>
    </x:row>
    <x:row r="383" ht="22" customHeight="1">
      <x:c r="A383" s="107"/>
      <x:c r="B383" s="107"/>
      <x:c r="C383" s="107"/>
      <x:c r="D383" s="107"/>
      <x:c r="E383" s="111"/>
      <x:c r="F383" s="111"/>
      <x:c r="G383" s="109"/>
      <x:c r="H383" s="107"/>
      <x:c r="I383" s="111"/>
      <x:c r="J383" s="107"/>
      <x:c r="K383" t="str">
        <x:f>IF(COUNTA(A383:J383)=0,"",IF(OR(A383="",B383="",D383="",G383="",H383=""),"Complete entry",IF(G383&lt;=0,"Check amount",IF(H383="Cancelled","Cancelled",IF(H383="Cleared",IF(I383="","Enter cash date","Cleared"),IF(H383="Bounced","Follow up bounced",IF(F383="","Enter expected date",IF(F383&lt;'Data &amp; Targets'!$C$10,"Overdue",IF(F383&lt;'Data &amp; Targets'!$C$10+30,"Due next 30 days","Pending")))))))))</x:f>
      </x:c>
    </x:row>
    <x:row r="384" ht="22" customHeight="1">
      <x:c r="A384" s="107"/>
      <x:c r="B384" s="107"/>
      <x:c r="C384" s="107"/>
      <x:c r="D384" s="107"/>
      <x:c r="E384" s="111"/>
      <x:c r="F384" s="111"/>
      <x:c r="G384" s="109"/>
      <x:c r="H384" s="107"/>
      <x:c r="I384" s="111"/>
      <x:c r="J384" s="107"/>
      <x:c r="K384" t="str">
        <x:f>IF(COUNTA(A384:J384)=0,"",IF(OR(A384="",B384="",D384="",G384="",H384=""),"Complete entry",IF(G384&lt;=0,"Check amount",IF(H384="Cancelled","Cancelled",IF(H384="Cleared",IF(I384="","Enter cash date","Cleared"),IF(H384="Bounced","Follow up bounced",IF(F384="","Enter expected date",IF(F384&lt;'Data &amp; Targets'!$C$10,"Overdue",IF(F384&lt;'Data &amp; Targets'!$C$10+30,"Due next 30 days","Pending")))))))))</x:f>
      </x:c>
    </x:row>
    <x:row r="385" ht="22" customHeight="1">
      <x:c r="A385" s="107"/>
      <x:c r="B385" s="107"/>
      <x:c r="C385" s="107"/>
      <x:c r="D385" s="107"/>
      <x:c r="E385" s="111"/>
      <x:c r="F385" s="111"/>
      <x:c r="G385" s="109"/>
      <x:c r="H385" s="107"/>
      <x:c r="I385" s="111"/>
      <x:c r="J385" s="107"/>
      <x:c r="K385" t="str">
        <x:f>IF(COUNTA(A385:J385)=0,"",IF(OR(A385="",B385="",D385="",G385="",H385=""),"Complete entry",IF(G385&lt;=0,"Check amount",IF(H385="Cancelled","Cancelled",IF(H385="Cleared",IF(I385="","Enter cash date","Cleared"),IF(H385="Bounced","Follow up bounced",IF(F385="","Enter expected date",IF(F385&lt;'Data &amp; Targets'!$C$10,"Overdue",IF(F385&lt;'Data &amp; Targets'!$C$10+30,"Due next 30 days","Pending")))))))))</x:f>
      </x:c>
    </x:row>
    <x:row r="386" ht="22" customHeight="1">
      <x:c r="A386" s="107"/>
      <x:c r="B386" s="107"/>
      <x:c r="C386" s="107"/>
      <x:c r="D386" s="107"/>
      <x:c r="E386" s="111"/>
      <x:c r="F386" s="111"/>
      <x:c r="G386" s="109"/>
      <x:c r="H386" s="107"/>
      <x:c r="I386" s="111"/>
      <x:c r="J386" s="107"/>
      <x:c r="K386" t="str">
        <x:f>IF(COUNTA(A386:J386)=0,"",IF(OR(A386="",B386="",D386="",G386="",H386=""),"Complete entry",IF(G386&lt;=0,"Check amount",IF(H386="Cancelled","Cancelled",IF(H386="Cleared",IF(I386="","Enter cash date","Cleared"),IF(H386="Bounced","Follow up bounced",IF(F386="","Enter expected date",IF(F386&lt;'Data &amp; Targets'!$C$10,"Overdue",IF(F386&lt;'Data &amp; Targets'!$C$10+30,"Due next 30 days","Pending")))))))))</x:f>
      </x:c>
    </x:row>
    <x:row r="387" ht="22" customHeight="1">
      <x:c r="A387" s="107"/>
      <x:c r="B387" s="107"/>
      <x:c r="C387" s="107"/>
      <x:c r="D387" s="107"/>
      <x:c r="E387" s="111"/>
      <x:c r="F387" s="111"/>
      <x:c r="G387" s="109"/>
      <x:c r="H387" s="107"/>
      <x:c r="I387" s="111"/>
      <x:c r="J387" s="107"/>
      <x:c r="K387" t="str">
        <x:f>IF(COUNTA(A387:J387)=0,"",IF(OR(A387="",B387="",D387="",G387="",H387=""),"Complete entry",IF(G387&lt;=0,"Check amount",IF(H387="Cancelled","Cancelled",IF(H387="Cleared",IF(I387="","Enter cash date","Cleared"),IF(H387="Bounced","Follow up bounced",IF(F387="","Enter expected date",IF(F387&lt;'Data &amp; Targets'!$C$10,"Overdue",IF(F387&lt;'Data &amp; Targets'!$C$10+30,"Due next 30 days","Pending")))))))))</x:f>
      </x:c>
    </x:row>
    <x:row r="388" ht="22" customHeight="1">
      <x:c r="A388" s="107"/>
      <x:c r="B388" s="107"/>
      <x:c r="C388" s="107"/>
      <x:c r="D388" s="107"/>
      <x:c r="E388" s="111"/>
      <x:c r="F388" s="111"/>
      <x:c r="G388" s="109"/>
      <x:c r="H388" s="107"/>
      <x:c r="I388" s="111"/>
      <x:c r="J388" s="107"/>
      <x:c r="K388" t="str">
        <x:f>IF(COUNTA(A388:J388)=0,"",IF(OR(A388="",B388="",D388="",G388="",H388=""),"Complete entry",IF(G388&lt;=0,"Check amount",IF(H388="Cancelled","Cancelled",IF(H388="Cleared",IF(I388="","Enter cash date","Cleared"),IF(H388="Bounced","Follow up bounced",IF(F388="","Enter expected date",IF(F388&lt;'Data &amp; Targets'!$C$10,"Overdue",IF(F388&lt;'Data &amp; Targets'!$C$10+30,"Due next 30 days","Pending")))))))))</x:f>
      </x:c>
    </x:row>
    <x:row r="389" ht="22" customHeight="1">
      <x:c r="A389" s="107"/>
      <x:c r="B389" s="107"/>
      <x:c r="C389" s="107"/>
      <x:c r="D389" s="107"/>
      <x:c r="E389" s="111"/>
      <x:c r="F389" s="111"/>
      <x:c r="G389" s="109"/>
      <x:c r="H389" s="107"/>
      <x:c r="I389" s="111"/>
      <x:c r="J389" s="107"/>
      <x:c r="K389" t="str">
        <x:f>IF(COUNTA(A389:J389)=0,"",IF(OR(A389="",B389="",D389="",G389="",H389=""),"Complete entry",IF(G389&lt;=0,"Check amount",IF(H389="Cancelled","Cancelled",IF(H389="Cleared",IF(I389="","Enter cash date","Cleared"),IF(H389="Bounced","Follow up bounced",IF(F389="","Enter expected date",IF(F389&lt;'Data &amp; Targets'!$C$10,"Overdue",IF(F389&lt;'Data &amp; Targets'!$C$10+30,"Due next 30 days","Pending")))))))))</x:f>
      </x:c>
    </x:row>
    <x:row r="390" ht="22" customHeight="1">
      <x:c r="A390" s="107"/>
      <x:c r="B390" s="107"/>
      <x:c r="C390" s="107"/>
      <x:c r="D390" s="107"/>
      <x:c r="E390" s="111"/>
      <x:c r="F390" s="111"/>
      <x:c r="G390" s="109"/>
      <x:c r="H390" s="107"/>
      <x:c r="I390" s="111"/>
      <x:c r="J390" s="107"/>
      <x:c r="K390" t="str">
        <x:f>IF(COUNTA(A390:J390)=0,"",IF(OR(A390="",B390="",D390="",G390="",H390=""),"Complete entry",IF(G390&lt;=0,"Check amount",IF(H390="Cancelled","Cancelled",IF(H390="Cleared",IF(I390="","Enter cash date","Cleared"),IF(H390="Bounced","Follow up bounced",IF(F390="","Enter expected date",IF(F390&lt;'Data &amp; Targets'!$C$10,"Overdue",IF(F390&lt;'Data &amp; Targets'!$C$10+30,"Due next 30 days","Pending")))))))))</x:f>
      </x:c>
    </x:row>
    <x:row r="391" ht="22" customHeight="1">
      <x:c r="A391" s="107"/>
      <x:c r="B391" s="107"/>
      <x:c r="C391" s="107"/>
      <x:c r="D391" s="107"/>
      <x:c r="E391" s="111"/>
      <x:c r="F391" s="111"/>
      <x:c r="G391" s="109"/>
      <x:c r="H391" s="107"/>
      <x:c r="I391" s="111"/>
      <x:c r="J391" s="107"/>
      <x:c r="K391" t="str">
        <x:f>IF(COUNTA(A391:J391)=0,"",IF(OR(A391="",B391="",D391="",G391="",H391=""),"Complete entry",IF(G391&lt;=0,"Check amount",IF(H391="Cancelled","Cancelled",IF(H391="Cleared",IF(I391="","Enter cash date","Cleared"),IF(H391="Bounced","Follow up bounced",IF(F391="","Enter expected date",IF(F391&lt;'Data &amp; Targets'!$C$10,"Overdue",IF(F391&lt;'Data &amp; Targets'!$C$10+30,"Due next 30 days","Pending")))))))))</x:f>
      </x:c>
    </x:row>
    <x:row r="392" ht="22" customHeight="1">
      <x:c r="A392" s="107"/>
      <x:c r="B392" s="107"/>
      <x:c r="C392" s="107"/>
      <x:c r="D392" s="107"/>
      <x:c r="E392" s="111"/>
      <x:c r="F392" s="111"/>
      <x:c r="G392" s="109"/>
      <x:c r="H392" s="107"/>
      <x:c r="I392" s="111"/>
      <x:c r="J392" s="107"/>
      <x:c r="K392" t="str">
        <x:f>IF(COUNTA(A392:J392)=0,"",IF(OR(A392="",B392="",D392="",G392="",H392=""),"Complete entry",IF(G392&lt;=0,"Check amount",IF(H392="Cancelled","Cancelled",IF(H392="Cleared",IF(I392="","Enter cash date","Cleared"),IF(H392="Bounced","Follow up bounced",IF(F392="","Enter expected date",IF(F392&lt;'Data &amp; Targets'!$C$10,"Overdue",IF(F392&lt;'Data &amp; Targets'!$C$10+30,"Due next 30 days","Pending")))))))))</x:f>
      </x:c>
    </x:row>
    <x:row r="393" ht="22" customHeight="1">
      <x:c r="A393" s="107"/>
      <x:c r="B393" s="107"/>
      <x:c r="C393" s="107"/>
      <x:c r="D393" s="107"/>
      <x:c r="E393" s="111"/>
      <x:c r="F393" s="111"/>
      <x:c r="G393" s="109"/>
      <x:c r="H393" s="107"/>
      <x:c r="I393" s="111"/>
      <x:c r="J393" s="107"/>
      <x:c r="K393" t="str">
        <x:f>IF(COUNTA(A393:J393)=0,"",IF(OR(A393="",B393="",D393="",G393="",H393=""),"Complete entry",IF(G393&lt;=0,"Check amount",IF(H393="Cancelled","Cancelled",IF(H393="Cleared",IF(I393="","Enter cash date","Cleared"),IF(H393="Bounced","Follow up bounced",IF(F393="","Enter expected date",IF(F393&lt;'Data &amp; Targets'!$C$10,"Overdue",IF(F393&lt;'Data &amp; Targets'!$C$10+30,"Due next 30 days","Pending")))))))))</x:f>
      </x:c>
    </x:row>
    <x:row r="394" ht="22" customHeight="1">
      <x:c r="A394" s="107"/>
      <x:c r="B394" s="107"/>
      <x:c r="C394" s="107"/>
      <x:c r="D394" s="107"/>
      <x:c r="E394" s="111"/>
      <x:c r="F394" s="111"/>
      <x:c r="G394" s="109"/>
      <x:c r="H394" s="107"/>
      <x:c r="I394" s="111"/>
      <x:c r="J394" s="107"/>
      <x:c r="K394" t="str">
        <x:f>IF(COUNTA(A394:J394)=0,"",IF(OR(A394="",B394="",D394="",G394="",H394=""),"Complete entry",IF(G394&lt;=0,"Check amount",IF(H394="Cancelled","Cancelled",IF(H394="Cleared",IF(I394="","Enter cash date","Cleared"),IF(H394="Bounced","Follow up bounced",IF(F394="","Enter expected date",IF(F394&lt;'Data &amp; Targets'!$C$10,"Overdue",IF(F394&lt;'Data &amp; Targets'!$C$10+30,"Due next 30 days","Pending")))))))))</x:f>
      </x:c>
    </x:row>
    <x:row r="395" ht="22" customHeight="1">
      <x:c r="A395" s="107"/>
      <x:c r="B395" s="107"/>
      <x:c r="C395" s="107"/>
      <x:c r="D395" s="107"/>
      <x:c r="E395" s="111"/>
      <x:c r="F395" s="111"/>
      <x:c r="G395" s="109"/>
      <x:c r="H395" s="107"/>
      <x:c r="I395" s="111"/>
      <x:c r="J395" s="107"/>
      <x:c r="K395" t="str">
        <x:f>IF(COUNTA(A395:J395)=0,"",IF(OR(A395="",B395="",D395="",G395="",H395=""),"Complete entry",IF(G395&lt;=0,"Check amount",IF(H395="Cancelled","Cancelled",IF(H395="Cleared",IF(I395="","Enter cash date","Cleared"),IF(H395="Bounced","Follow up bounced",IF(F395="","Enter expected date",IF(F395&lt;'Data &amp; Targets'!$C$10,"Overdue",IF(F395&lt;'Data &amp; Targets'!$C$10+30,"Due next 30 days","Pending")))))))))</x:f>
      </x:c>
    </x:row>
    <x:row r="396" ht="22" customHeight="1">
      <x:c r="A396" s="107"/>
      <x:c r="B396" s="107"/>
      <x:c r="C396" s="107"/>
      <x:c r="D396" s="107"/>
      <x:c r="E396" s="111"/>
      <x:c r="F396" s="111"/>
      <x:c r="G396" s="109"/>
      <x:c r="H396" s="107"/>
      <x:c r="I396" s="111"/>
      <x:c r="J396" s="107"/>
      <x:c r="K396" t="str">
        <x:f>IF(COUNTA(A396:J396)=0,"",IF(OR(A396="",B396="",D396="",G396="",H396=""),"Complete entry",IF(G396&lt;=0,"Check amount",IF(H396="Cancelled","Cancelled",IF(H396="Cleared",IF(I396="","Enter cash date","Cleared"),IF(H396="Bounced","Follow up bounced",IF(F396="","Enter expected date",IF(F396&lt;'Data &amp; Targets'!$C$10,"Overdue",IF(F396&lt;'Data &amp; Targets'!$C$10+30,"Due next 30 days","Pending")))))))))</x:f>
      </x:c>
    </x:row>
    <x:row r="397" ht="22" customHeight="1">
      <x:c r="A397" s="107"/>
      <x:c r="B397" s="107"/>
      <x:c r="C397" s="107"/>
      <x:c r="D397" s="107"/>
      <x:c r="E397" s="111"/>
      <x:c r="F397" s="111"/>
      <x:c r="G397" s="109"/>
      <x:c r="H397" s="107"/>
      <x:c r="I397" s="111"/>
      <x:c r="J397" s="107"/>
      <x:c r="K397" t="str">
        <x:f>IF(COUNTA(A397:J397)=0,"",IF(OR(A397="",B397="",D397="",G397="",H397=""),"Complete entry",IF(G397&lt;=0,"Check amount",IF(H397="Cancelled","Cancelled",IF(H397="Cleared",IF(I397="","Enter cash date","Cleared"),IF(H397="Bounced","Follow up bounced",IF(F397="","Enter expected date",IF(F397&lt;'Data &amp; Targets'!$C$10,"Overdue",IF(F397&lt;'Data &amp; Targets'!$C$10+30,"Due next 30 days","Pending")))))))))</x:f>
      </x:c>
    </x:row>
    <x:row r="398" ht="22" customHeight="1">
      <x:c r="A398" s="107"/>
      <x:c r="B398" s="107"/>
      <x:c r="C398" s="107"/>
      <x:c r="D398" s="107"/>
      <x:c r="E398" s="111"/>
      <x:c r="F398" s="111"/>
      <x:c r="G398" s="109"/>
      <x:c r="H398" s="107"/>
      <x:c r="I398" s="111"/>
      <x:c r="J398" s="107"/>
      <x:c r="K398" t="str">
        <x:f>IF(COUNTA(A398:J398)=0,"",IF(OR(A398="",B398="",D398="",G398="",H398=""),"Complete entry",IF(G398&lt;=0,"Check amount",IF(H398="Cancelled","Cancelled",IF(H398="Cleared",IF(I398="","Enter cash date","Cleared"),IF(H398="Bounced","Follow up bounced",IF(F398="","Enter expected date",IF(F398&lt;'Data &amp; Targets'!$C$10,"Overdue",IF(F398&lt;'Data &amp; Targets'!$C$10+30,"Due next 30 days","Pending")))))))))</x:f>
      </x:c>
    </x:row>
    <x:row r="399" ht="22" customHeight="1">
      <x:c r="A399" s="107"/>
      <x:c r="B399" s="107"/>
      <x:c r="C399" s="107"/>
      <x:c r="D399" s="107"/>
      <x:c r="E399" s="111"/>
      <x:c r="F399" s="111"/>
      <x:c r="G399" s="109"/>
      <x:c r="H399" s="107"/>
      <x:c r="I399" s="111"/>
      <x:c r="J399" s="107"/>
      <x:c r="K399" t="str">
        <x:f>IF(COUNTA(A399:J399)=0,"",IF(OR(A399="",B399="",D399="",G399="",H399=""),"Complete entry",IF(G399&lt;=0,"Check amount",IF(H399="Cancelled","Cancelled",IF(H399="Cleared",IF(I399="","Enter cash date","Cleared"),IF(H399="Bounced","Follow up bounced",IF(F399="","Enter expected date",IF(F399&lt;'Data &amp; Targets'!$C$10,"Overdue",IF(F399&lt;'Data &amp; Targets'!$C$10+30,"Due next 30 days","Pending")))))))))</x:f>
      </x:c>
    </x:row>
    <x:row r="400" ht="22" customHeight="1">
      <x:c r="A400" s="107"/>
      <x:c r="B400" s="107"/>
      <x:c r="C400" s="107"/>
      <x:c r="D400" s="107"/>
      <x:c r="E400" s="111"/>
      <x:c r="F400" s="111"/>
      <x:c r="G400" s="109"/>
      <x:c r="H400" s="107"/>
      <x:c r="I400" s="111"/>
      <x:c r="J400" s="107"/>
      <x:c r="K400" t="str">
        <x:f>IF(COUNTA(A400:J400)=0,"",IF(OR(A400="",B400="",D400="",G400="",H400=""),"Complete entry",IF(G400&lt;=0,"Check amount",IF(H400="Cancelled","Cancelled",IF(H400="Cleared",IF(I400="","Enter cash date","Cleared"),IF(H400="Bounced","Follow up bounced",IF(F400="","Enter expected date",IF(F400&lt;'Data &amp; Targets'!$C$10,"Overdue",IF(F400&lt;'Data &amp; Targets'!$C$10+30,"Due next 30 days","Pending")))))))))</x:f>
      </x:c>
    </x:row>
    <x:row r="401" ht="22" customHeight="1">
      <x:c r="A401" s="107"/>
      <x:c r="B401" s="107"/>
      <x:c r="C401" s="107"/>
      <x:c r="D401" s="107"/>
      <x:c r="E401" s="111"/>
      <x:c r="F401" s="111"/>
      <x:c r="G401" s="109"/>
      <x:c r="H401" s="107"/>
      <x:c r="I401" s="111"/>
      <x:c r="J401" s="107"/>
      <x:c r="K401" t="str">
        <x:f>IF(COUNTA(A401:J401)=0,"",IF(OR(A401="",B401="",D401="",G401="",H401=""),"Complete entry",IF(G401&lt;=0,"Check amount",IF(H401="Cancelled","Cancelled",IF(H401="Cleared",IF(I401="","Enter cash date","Cleared"),IF(H401="Bounced","Follow up bounced",IF(F401="","Enter expected date",IF(F401&lt;'Data &amp; Targets'!$C$10,"Overdue",IF(F401&lt;'Data &amp; Targets'!$C$10+30,"Due next 30 days","Pending")))))))))</x:f>
      </x:c>
    </x:row>
    <x:row r="402" ht="22" customHeight="1">
      <x:c r="A402" s="107"/>
      <x:c r="B402" s="107"/>
      <x:c r="C402" s="107"/>
      <x:c r="D402" s="107"/>
      <x:c r="E402" s="111"/>
      <x:c r="F402" s="111"/>
      <x:c r="G402" s="109"/>
      <x:c r="H402" s="107"/>
      <x:c r="I402" s="111"/>
      <x:c r="J402" s="107"/>
      <x:c r="K402" t="str">
        <x:f>IF(COUNTA(A402:J402)=0,"",IF(OR(A402="",B402="",D402="",G402="",H402=""),"Complete entry",IF(G402&lt;=0,"Check amount",IF(H402="Cancelled","Cancelled",IF(H402="Cleared",IF(I402="","Enter cash date","Cleared"),IF(H402="Bounced","Follow up bounced",IF(F402="","Enter expected date",IF(F402&lt;'Data &amp; Targets'!$C$10,"Overdue",IF(F402&lt;'Data &amp; Targets'!$C$10+30,"Due next 30 days","Pending")))))))))</x:f>
      </x:c>
    </x:row>
    <x:row r="403" ht="22" customHeight="1">
      <x:c r="A403" s="107"/>
      <x:c r="B403" s="107"/>
      <x:c r="C403" s="107"/>
      <x:c r="D403" s="107"/>
      <x:c r="E403" s="111"/>
      <x:c r="F403" s="111"/>
      <x:c r="G403" s="109"/>
      <x:c r="H403" s="107"/>
      <x:c r="I403" s="111"/>
      <x:c r="J403" s="107"/>
      <x:c r="K403" t="str">
        <x:f>IF(COUNTA(A403:J403)=0,"",IF(OR(A403="",B403="",D403="",G403="",H403=""),"Complete entry",IF(G403&lt;=0,"Check amount",IF(H403="Cancelled","Cancelled",IF(H403="Cleared",IF(I403="","Enter cash date","Cleared"),IF(H403="Bounced","Follow up bounced",IF(F403="","Enter expected date",IF(F403&lt;'Data &amp; Targets'!$C$10,"Overdue",IF(F403&lt;'Data &amp; Targets'!$C$10+30,"Due next 30 days","Pending")))))))))</x:f>
      </x:c>
    </x:row>
    <x:row r="404" ht="22" customHeight="1">
      <x:c r="A404" s="107"/>
      <x:c r="B404" s="107"/>
      <x:c r="C404" s="107"/>
      <x:c r="D404" s="107"/>
      <x:c r="E404" s="111"/>
      <x:c r="F404" s="111"/>
      <x:c r="G404" s="109"/>
      <x:c r="H404" s="107"/>
      <x:c r="I404" s="111"/>
      <x:c r="J404" s="107"/>
      <x:c r="K404" t="str">
        <x:f>IF(COUNTA(A404:J404)=0,"",IF(OR(A404="",B404="",D404="",G404="",H404=""),"Complete entry",IF(G404&lt;=0,"Check amount",IF(H404="Cancelled","Cancelled",IF(H404="Cleared",IF(I404="","Enter cash date","Cleared"),IF(H404="Bounced","Follow up bounced",IF(F404="","Enter expected date",IF(F404&lt;'Data &amp; Targets'!$C$10,"Overdue",IF(F404&lt;'Data &amp; Targets'!$C$10+30,"Due next 30 days","Pending")))))))))</x:f>
      </x:c>
    </x:row>
    <x:row r="405" ht="22" customHeight="1">
      <x:c r="A405" s="107"/>
      <x:c r="B405" s="107"/>
      <x:c r="C405" s="107"/>
      <x:c r="D405" s="107"/>
      <x:c r="E405" s="111"/>
      <x:c r="F405" s="111"/>
      <x:c r="G405" s="109"/>
      <x:c r="H405" s="107"/>
      <x:c r="I405" s="111"/>
      <x:c r="J405" s="107"/>
      <x:c r="K405" t="str">
        <x:f>IF(COUNTA(A405:J405)=0,"",IF(OR(A405="",B405="",D405="",G405="",H405=""),"Complete entry",IF(G405&lt;=0,"Check amount",IF(H405="Cancelled","Cancelled",IF(H405="Cleared",IF(I405="","Enter cash date","Cleared"),IF(H405="Bounced","Follow up bounced",IF(F405="","Enter expected date",IF(F405&lt;'Data &amp; Targets'!$C$10,"Overdue",IF(F405&lt;'Data &amp; Targets'!$C$10+30,"Due next 30 days","Pending")))))))))</x:f>
      </x:c>
    </x:row>
    <x:row r="406" ht="22" customHeight="1">
      <x:c r="A406" s="107"/>
      <x:c r="B406" s="107"/>
      <x:c r="C406" s="107"/>
      <x:c r="D406" s="107"/>
      <x:c r="E406" s="111"/>
      <x:c r="F406" s="111"/>
      <x:c r="G406" s="109"/>
      <x:c r="H406" s="107"/>
      <x:c r="I406" s="111"/>
      <x:c r="J406" s="107"/>
      <x:c r="K406" t="str">
        <x:f>IF(COUNTA(A406:J406)=0,"",IF(OR(A406="",B406="",D406="",G406="",H406=""),"Complete entry",IF(G406&lt;=0,"Check amount",IF(H406="Cancelled","Cancelled",IF(H406="Cleared",IF(I406="","Enter cash date","Cleared"),IF(H406="Bounced","Follow up bounced",IF(F406="","Enter expected date",IF(F406&lt;'Data &amp; Targets'!$C$10,"Overdue",IF(F406&lt;'Data &amp; Targets'!$C$10+30,"Due next 30 days","Pending")))))))))</x:f>
      </x:c>
    </x:row>
    <x:row r="407" ht="22" customHeight="1">
      <x:c r="A407" s="107"/>
      <x:c r="B407" s="107"/>
      <x:c r="C407" s="107"/>
      <x:c r="D407" s="107"/>
      <x:c r="E407" s="111"/>
      <x:c r="F407" s="111"/>
      <x:c r="G407" s="109"/>
      <x:c r="H407" s="107"/>
      <x:c r="I407" s="111"/>
      <x:c r="J407" s="107"/>
      <x:c r="K407" t="str">
        <x:f>IF(COUNTA(A407:J407)=0,"",IF(OR(A407="",B407="",D407="",G407="",H407=""),"Complete entry",IF(G407&lt;=0,"Check amount",IF(H407="Cancelled","Cancelled",IF(H407="Cleared",IF(I407="","Enter cash date","Cleared"),IF(H407="Bounced","Follow up bounced",IF(F407="","Enter expected date",IF(F407&lt;'Data &amp; Targets'!$C$10,"Overdue",IF(F407&lt;'Data &amp; Targets'!$C$10+30,"Due next 30 days","Pending")))))))))</x:f>
      </x:c>
    </x:row>
    <x:row r="408" ht="22" customHeight="1">
      <x:c r="A408" s="107"/>
      <x:c r="B408" s="107"/>
      <x:c r="C408" s="107"/>
      <x:c r="D408" s="107"/>
      <x:c r="E408" s="111"/>
      <x:c r="F408" s="111"/>
      <x:c r="G408" s="109"/>
      <x:c r="H408" s="107"/>
      <x:c r="I408" s="111"/>
      <x:c r="J408" s="107"/>
      <x:c r="K408" t="str">
        <x:f>IF(COUNTA(A408:J408)=0,"",IF(OR(A408="",B408="",D408="",G408="",H408=""),"Complete entry",IF(G408&lt;=0,"Check amount",IF(H408="Cancelled","Cancelled",IF(H408="Cleared",IF(I408="","Enter cash date","Cleared"),IF(H408="Bounced","Follow up bounced",IF(F408="","Enter expected date",IF(F408&lt;'Data &amp; Targets'!$C$10,"Overdue",IF(F408&lt;'Data &amp; Targets'!$C$10+30,"Due next 30 days","Pending")))))))))</x:f>
      </x:c>
    </x:row>
    <x:row r="409" ht="22" customHeight="1">
      <x:c r="A409" s="107"/>
      <x:c r="B409" s="107"/>
      <x:c r="C409" s="107"/>
      <x:c r="D409" s="107"/>
      <x:c r="E409" s="111"/>
      <x:c r="F409" s="111"/>
      <x:c r="G409" s="109"/>
      <x:c r="H409" s="107"/>
      <x:c r="I409" s="111"/>
      <x:c r="J409" s="107"/>
      <x:c r="K409" t="str">
        <x:f>IF(COUNTA(A409:J409)=0,"",IF(OR(A409="",B409="",D409="",G409="",H409=""),"Complete entry",IF(G409&lt;=0,"Check amount",IF(H409="Cancelled","Cancelled",IF(H409="Cleared",IF(I409="","Enter cash date","Cleared"),IF(H409="Bounced","Follow up bounced",IF(F409="","Enter expected date",IF(F409&lt;'Data &amp; Targets'!$C$10,"Overdue",IF(F409&lt;'Data &amp; Targets'!$C$10+30,"Due next 30 days","Pending")))))))))</x:f>
      </x:c>
    </x:row>
    <x:row r="410" ht="22" customHeight="1">
      <x:c r="A410" s="107"/>
      <x:c r="B410" s="107"/>
      <x:c r="C410" s="107"/>
      <x:c r="D410" s="107"/>
      <x:c r="E410" s="111"/>
      <x:c r="F410" s="111"/>
      <x:c r="G410" s="109"/>
      <x:c r="H410" s="107"/>
      <x:c r="I410" s="111"/>
      <x:c r="J410" s="107"/>
      <x:c r="K410" t="str">
        <x:f>IF(COUNTA(A410:J410)=0,"",IF(OR(A410="",B410="",D410="",G410="",H410=""),"Complete entry",IF(G410&lt;=0,"Check amount",IF(H410="Cancelled","Cancelled",IF(H410="Cleared",IF(I410="","Enter cash date","Cleared"),IF(H410="Bounced","Follow up bounced",IF(F410="","Enter expected date",IF(F410&lt;'Data &amp; Targets'!$C$10,"Overdue",IF(F410&lt;'Data &amp; Targets'!$C$10+30,"Due next 30 days","Pending")))))))))</x:f>
      </x:c>
    </x:row>
    <x:row r="411" ht="22" customHeight="1">
      <x:c r="A411" s="107"/>
      <x:c r="B411" s="107"/>
      <x:c r="C411" s="107"/>
      <x:c r="D411" s="107"/>
      <x:c r="E411" s="111"/>
      <x:c r="F411" s="111"/>
      <x:c r="G411" s="109"/>
      <x:c r="H411" s="107"/>
      <x:c r="I411" s="111"/>
      <x:c r="J411" s="107"/>
      <x:c r="K411" t="str">
        <x:f>IF(COUNTA(A411:J411)=0,"",IF(OR(A411="",B411="",D411="",G411="",H411=""),"Complete entry",IF(G411&lt;=0,"Check amount",IF(H411="Cancelled","Cancelled",IF(H411="Cleared",IF(I411="","Enter cash date","Cleared"),IF(H411="Bounced","Follow up bounced",IF(F411="","Enter expected date",IF(F411&lt;'Data &amp; Targets'!$C$10,"Overdue",IF(F411&lt;'Data &amp; Targets'!$C$10+30,"Due next 30 days","Pending")))))))))</x:f>
      </x:c>
    </x:row>
    <x:row r="412" ht="22" customHeight="1">
      <x:c r="A412" s="107"/>
      <x:c r="B412" s="107"/>
      <x:c r="C412" s="107"/>
      <x:c r="D412" s="107"/>
      <x:c r="E412" s="111"/>
      <x:c r="F412" s="111"/>
      <x:c r="G412" s="109"/>
      <x:c r="H412" s="107"/>
      <x:c r="I412" s="111"/>
      <x:c r="J412" s="107"/>
      <x:c r="K412" t="str">
        <x:f>IF(COUNTA(A412:J412)=0,"",IF(OR(A412="",B412="",D412="",G412="",H412=""),"Complete entry",IF(G412&lt;=0,"Check amount",IF(H412="Cancelled","Cancelled",IF(H412="Cleared",IF(I412="","Enter cash date","Cleared"),IF(H412="Bounced","Follow up bounced",IF(F412="","Enter expected date",IF(F412&lt;'Data &amp; Targets'!$C$10,"Overdue",IF(F412&lt;'Data &amp; Targets'!$C$10+30,"Due next 30 days","Pending")))))))))</x:f>
      </x:c>
    </x:row>
    <x:row r="413" ht="22" customHeight="1">
      <x:c r="A413" s="107"/>
      <x:c r="B413" s="107"/>
      <x:c r="C413" s="107"/>
      <x:c r="D413" s="107"/>
      <x:c r="E413" s="111"/>
      <x:c r="F413" s="111"/>
      <x:c r="G413" s="109"/>
      <x:c r="H413" s="107"/>
      <x:c r="I413" s="111"/>
      <x:c r="J413" s="107"/>
      <x:c r="K413" t="str">
        <x:f>IF(COUNTA(A413:J413)=0,"",IF(OR(A413="",B413="",D413="",G413="",H413=""),"Complete entry",IF(G413&lt;=0,"Check amount",IF(H413="Cancelled","Cancelled",IF(H413="Cleared",IF(I413="","Enter cash date","Cleared"),IF(H413="Bounced","Follow up bounced",IF(F413="","Enter expected date",IF(F413&lt;'Data &amp; Targets'!$C$10,"Overdue",IF(F413&lt;'Data &amp; Targets'!$C$10+30,"Due next 30 days","Pending")))))))))</x:f>
      </x:c>
    </x:row>
    <x:row r="414" ht="22" customHeight="1">
      <x:c r="A414" s="107"/>
      <x:c r="B414" s="107"/>
      <x:c r="C414" s="107"/>
      <x:c r="D414" s="107"/>
      <x:c r="E414" s="111"/>
      <x:c r="F414" s="111"/>
      <x:c r="G414" s="109"/>
      <x:c r="H414" s="107"/>
      <x:c r="I414" s="111"/>
      <x:c r="J414" s="107"/>
      <x:c r="K414" t="str">
        <x:f>IF(COUNTA(A414:J414)=0,"",IF(OR(A414="",B414="",D414="",G414="",H414=""),"Complete entry",IF(G414&lt;=0,"Check amount",IF(H414="Cancelled","Cancelled",IF(H414="Cleared",IF(I414="","Enter cash date","Cleared"),IF(H414="Bounced","Follow up bounced",IF(F414="","Enter expected date",IF(F414&lt;'Data &amp; Targets'!$C$10,"Overdue",IF(F414&lt;'Data &amp; Targets'!$C$10+30,"Due next 30 days","Pending")))))))))</x:f>
      </x:c>
    </x:row>
    <x:row r="415" ht="22" customHeight="1">
      <x:c r="A415" s="107"/>
      <x:c r="B415" s="107"/>
      <x:c r="C415" s="107"/>
      <x:c r="D415" s="107"/>
      <x:c r="E415" s="111"/>
      <x:c r="F415" s="111"/>
      <x:c r="G415" s="109"/>
      <x:c r="H415" s="107"/>
      <x:c r="I415" s="111"/>
      <x:c r="J415" s="107"/>
      <x:c r="K415" t="str">
        <x:f>IF(COUNTA(A415:J415)=0,"",IF(OR(A415="",B415="",D415="",G415="",H415=""),"Complete entry",IF(G415&lt;=0,"Check amount",IF(H415="Cancelled","Cancelled",IF(H415="Cleared",IF(I415="","Enter cash date","Cleared"),IF(H415="Bounced","Follow up bounced",IF(F415="","Enter expected date",IF(F415&lt;'Data &amp; Targets'!$C$10,"Overdue",IF(F415&lt;'Data &amp; Targets'!$C$10+30,"Due next 30 days","Pending")))))))))</x:f>
      </x:c>
    </x:row>
    <x:row r="416" ht="22" customHeight="1">
      <x:c r="A416" s="107"/>
      <x:c r="B416" s="107"/>
      <x:c r="C416" s="107"/>
      <x:c r="D416" s="107"/>
      <x:c r="E416" s="111"/>
      <x:c r="F416" s="111"/>
      <x:c r="G416" s="109"/>
      <x:c r="H416" s="107"/>
      <x:c r="I416" s="111"/>
      <x:c r="J416" s="107"/>
      <x:c r="K416" t="str">
        <x:f>IF(COUNTA(A416:J416)=0,"",IF(OR(A416="",B416="",D416="",G416="",H416=""),"Complete entry",IF(G416&lt;=0,"Check amount",IF(H416="Cancelled","Cancelled",IF(H416="Cleared",IF(I416="","Enter cash date","Cleared"),IF(H416="Bounced","Follow up bounced",IF(F416="","Enter expected date",IF(F416&lt;'Data &amp; Targets'!$C$10,"Overdue",IF(F416&lt;'Data &amp; Targets'!$C$10+30,"Due next 30 days","Pending")))))))))</x:f>
      </x:c>
    </x:row>
    <x:row r="417" ht="22" customHeight="1">
      <x:c r="A417" s="107"/>
      <x:c r="B417" s="107"/>
      <x:c r="C417" s="107"/>
      <x:c r="D417" s="107"/>
      <x:c r="E417" s="111"/>
      <x:c r="F417" s="111"/>
      <x:c r="G417" s="109"/>
      <x:c r="H417" s="107"/>
      <x:c r="I417" s="111"/>
      <x:c r="J417" s="107"/>
      <x:c r="K417" t="str">
        <x:f>IF(COUNTA(A417:J417)=0,"",IF(OR(A417="",B417="",D417="",G417="",H417=""),"Complete entry",IF(G417&lt;=0,"Check amount",IF(H417="Cancelled","Cancelled",IF(H417="Cleared",IF(I417="","Enter cash date","Cleared"),IF(H417="Bounced","Follow up bounced",IF(F417="","Enter expected date",IF(F417&lt;'Data &amp; Targets'!$C$10,"Overdue",IF(F417&lt;'Data &amp; Targets'!$C$10+30,"Due next 30 days","Pending")))))))))</x:f>
      </x:c>
    </x:row>
    <x:row r="418" ht="22" customHeight="1">
      <x:c r="A418" s="107"/>
      <x:c r="B418" s="107"/>
      <x:c r="C418" s="107"/>
      <x:c r="D418" s="107"/>
      <x:c r="E418" s="111"/>
      <x:c r="F418" s="111"/>
      <x:c r="G418" s="109"/>
      <x:c r="H418" s="107"/>
      <x:c r="I418" s="111"/>
      <x:c r="J418" s="107"/>
      <x:c r="K418" t="str">
        <x:f>IF(COUNTA(A418:J418)=0,"",IF(OR(A418="",B418="",D418="",G418="",H418=""),"Complete entry",IF(G418&lt;=0,"Check amount",IF(H418="Cancelled","Cancelled",IF(H418="Cleared",IF(I418="","Enter cash date","Cleared"),IF(H418="Bounced","Follow up bounced",IF(F418="","Enter expected date",IF(F418&lt;'Data &amp; Targets'!$C$10,"Overdue",IF(F418&lt;'Data &amp; Targets'!$C$10+30,"Due next 30 days","Pending")))))))))</x:f>
      </x:c>
    </x:row>
    <x:row r="419" ht="22" customHeight="1">
      <x:c r="A419" s="107"/>
      <x:c r="B419" s="107"/>
      <x:c r="C419" s="107"/>
      <x:c r="D419" s="107"/>
      <x:c r="E419" s="111"/>
      <x:c r="F419" s="111"/>
      <x:c r="G419" s="109"/>
      <x:c r="H419" s="107"/>
      <x:c r="I419" s="111"/>
      <x:c r="J419" s="107"/>
      <x:c r="K419" t="str">
        <x:f>IF(COUNTA(A419:J419)=0,"",IF(OR(A419="",B419="",D419="",G419="",H419=""),"Complete entry",IF(G419&lt;=0,"Check amount",IF(H419="Cancelled","Cancelled",IF(H419="Cleared",IF(I419="","Enter cash date","Cleared"),IF(H419="Bounced","Follow up bounced",IF(F419="","Enter expected date",IF(F419&lt;'Data &amp; Targets'!$C$10,"Overdue",IF(F419&lt;'Data &amp; Targets'!$C$10+30,"Due next 30 days","Pending")))))))))</x:f>
      </x:c>
    </x:row>
    <x:row r="420" ht="22" customHeight="1">
      <x:c r="A420" s="107"/>
      <x:c r="B420" s="107"/>
      <x:c r="C420" s="107"/>
      <x:c r="D420" s="107"/>
      <x:c r="E420" s="111"/>
      <x:c r="F420" s="111"/>
      <x:c r="G420" s="109"/>
      <x:c r="H420" s="107"/>
      <x:c r="I420" s="111"/>
      <x:c r="J420" s="107"/>
      <x:c r="K420" t="str">
        <x:f>IF(COUNTA(A420:J420)=0,"",IF(OR(A420="",B420="",D420="",G420="",H420=""),"Complete entry",IF(G420&lt;=0,"Check amount",IF(H420="Cancelled","Cancelled",IF(H420="Cleared",IF(I420="","Enter cash date","Cleared"),IF(H420="Bounced","Follow up bounced",IF(F420="","Enter expected date",IF(F420&lt;'Data &amp; Targets'!$C$10,"Overdue",IF(F420&lt;'Data &amp; Targets'!$C$10+30,"Due next 30 days","Pending")))))))))</x:f>
      </x:c>
    </x:row>
    <x:row r="421" ht="22" customHeight="1">
      <x:c r="A421" s="107"/>
      <x:c r="B421" s="107"/>
      <x:c r="C421" s="107"/>
      <x:c r="D421" s="107"/>
      <x:c r="E421" s="111"/>
      <x:c r="F421" s="111"/>
      <x:c r="G421" s="109"/>
      <x:c r="H421" s="107"/>
      <x:c r="I421" s="111"/>
      <x:c r="J421" s="107"/>
      <x:c r="K421" t="str">
        <x:f>IF(COUNTA(A421:J421)=0,"",IF(OR(A421="",B421="",D421="",G421="",H421=""),"Complete entry",IF(G421&lt;=0,"Check amount",IF(H421="Cancelled","Cancelled",IF(H421="Cleared",IF(I421="","Enter cash date","Cleared"),IF(H421="Bounced","Follow up bounced",IF(F421="","Enter expected date",IF(F421&lt;'Data &amp; Targets'!$C$10,"Overdue",IF(F421&lt;'Data &amp; Targets'!$C$10+30,"Due next 30 days","Pending")))))))))</x:f>
      </x:c>
    </x:row>
    <x:row r="422" ht="22" customHeight="1">
      <x:c r="A422" s="107"/>
      <x:c r="B422" s="107"/>
      <x:c r="C422" s="107"/>
      <x:c r="D422" s="107"/>
      <x:c r="E422" s="111"/>
      <x:c r="F422" s="111"/>
      <x:c r="G422" s="109"/>
      <x:c r="H422" s="107"/>
      <x:c r="I422" s="111"/>
      <x:c r="J422" s="107"/>
      <x:c r="K422" t="str">
        <x:f>IF(COUNTA(A422:J422)=0,"",IF(OR(A422="",B422="",D422="",G422="",H422=""),"Complete entry",IF(G422&lt;=0,"Check amount",IF(H422="Cancelled","Cancelled",IF(H422="Cleared",IF(I422="","Enter cash date","Cleared"),IF(H422="Bounced","Follow up bounced",IF(F422="","Enter expected date",IF(F422&lt;'Data &amp; Targets'!$C$10,"Overdue",IF(F422&lt;'Data &amp; Targets'!$C$10+30,"Due next 30 days","Pending")))))))))</x:f>
      </x:c>
    </x:row>
    <x:row r="423" ht="22" customHeight="1">
      <x:c r="A423" s="107"/>
      <x:c r="B423" s="107"/>
      <x:c r="C423" s="107"/>
      <x:c r="D423" s="107"/>
      <x:c r="E423" s="111"/>
      <x:c r="F423" s="111"/>
      <x:c r="G423" s="109"/>
      <x:c r="H423" s="107"/>
      <x:c r="I423" s="111"/>
      <x:c r="J423" s="107"/>
      <x:c r="K423" t="str">
        <x:f>IF(COUNTA(A423:J423)=0,"",IF(OR(A423="",B423="",D423="",G423="",H423=""),"Complete entry",IF(G423&lt;=0,"Check amount",IF(H423="Cancelled","Cancelled",IF(H423="Cleared",IF(I423="","Enter cash date","Cleared"),IF(H423="Bounced","Follow up bounced",IF(F423="","Enter expected date",IF(F423&lt;'Data &amp; Targets'!$C$10,"Overdue",IF(F423&lt;'Data &amp; Targets'!$C$10+30,"Due next 30 days","Pending")))))))))</x:f>
      </x:c>
    </x:row>
    <x:row r="424" ht="22" customHeight="1">
      <x:c r="A424" s="107"/>
      <x:c r="B424" s="107"/>
      <x:c r="C424" s="107"/>
      <x:c r="D424" s="107"/>
      <x:c r="E424" s="111"/>
      <x:c r="F424" s="111"/>
      <x:c r="G424" s="109"/>
      <x:c r="H424" s="107"/>
      <x:c r="I424" s="111"/>
      <x:c r="J424" s="107"/>
      <x:c r="K424" t="str">
        <x:f>IF(COUNTA(A424:J424)=0,"",IF(OR(A424="",B424="",D424="",G424="",H424=""),"Complete entry",IF(G424&lt;=0,"Check amount",IF(H424="Cancelled","Cancelled",IF(H424="Cleared",IF(I424="","Enter cash date","Cleared"),IF(H424="Bounced","Follow up bounced",IF(F424="","Enter expected date",IF(F424&lt;'Data &amp; Targets'!$C$10,"Overdue",IF(F424&lt;'Data &amp; Targets'!$C$10+30,"Due next 30 days","Pending")))))))))</x:f>
      </x:c>
    </x:row>
    <x:row r="425" ht="22" customHeight="1">
      <x:c r="A425" s="107"/>
      <x:c r="B425" s="107"/>
      <x:c r="C425" s="107"/>
      <x:c r="D425" s="107"/>
      <x:c r="E425" s="111"/>
      <x:c r="F425" s="111"/>
      <x:c r="G425" s="109"/>
      <x:c r="H425" s="107"/>
      <x:c r="I425" s="111"/>
      <x:c r="J425" s="107"/>
      <x:c r="K425" t="str">
        <x:f>IF(COUNTA(A425:J425)=0,"",IF(OR(A425="",B425="",D425="",G425="",H425=""),"Complete entry",IF(G425&lt;=0,"Check amount",IF(H425="Cancelled","Cancelled",IF(H425="Cleared",IF(I425="","Enter cash date","Cleared"),IF(H425="Bounced","Follow up bounced",IF(F425="","Enter expected date",IF(F425&lt;'Data &amp; Targets'!$C$10,"Overdue",IF(F425&lt;'Data &amp; Targets'!$C$10+30,"Due next 30 days","Pending")))))))))</x:f>
      </x:c>
    </x:row>
    <x:row r="426" ht="22" customHeight="1">
      <x:c r="A426" s="107"/>
      <x:c r="B426" s="107"/>
      <x:c r="C426" s="107"/>
      <x:c r="D426" s="107"/>
      <x:c r="E426" s="111"/>
      <x:c r="F426" s="111"/>
      <x:c r="G426" s="109"/>
      <x:c r="H426" s="107"/>
      <x:c r="I426" s="111"/>
      <x:c r="J426" s="107"/>
      <x:c r="K426" t="str">
        <x:f>IF(COUNTA(A426:J426)=0,"",IF(OR(A426="",B426="",D426="",G426="",H426=""),"Complete entry",IF(G426&lt;=0,"Check amount",IF(H426="Cancelled","Cancelled",IF(H426="Cleared",IF(I426="","Enter cash date","Cleared"),IF(H426="Bounced","Follow up bounced",IF(F426="","Enter expected date",IF(F426&lt;'Data &amp; Targets'!$C$10,"Overdue",IF(F426&lt;'Data &amp; Targets'!$C$10+30,"Due next 30 days","Pending")))))))))</x:f>
      </x:c>
    </x:row>
    <x:row r="427" ht="22" customHeight="1">
      <x:c r="A427" s="107"/>
      <x:c r="B427" s="107"/>
      <x:c r="C427" s="107"/>
      <x:c r="D427" s="107"/>
      <x:c r="E427" s="111"/>
      <x:c r="F427" s="111"/>
      <x:c r="G427" s="109"/>
      <x:c r="H427" s="107"/>
      <x:c r="I427" s="111"/>
      <x:c r="J427" s="107"/>
      <x:c r="K427" t="str">
        <x:f>IF(COUNTA(A427:J427)=0,"",IF(OR(A427="",B427="",D427="",G427="",H427=""),"Complete entry",IF(G427&lt;=0,"Check amount",IF(H427="Cancelled","Cancelled",IF(H427="Cleared",IF(I427="","Enter cash date","Cleared"),IF(H427="Bounced","Follow up bounced",IF(F427="","Enter expected date",IF(F427&lt;'Data &amp; Targets'!$C$10,"Overdue",IF(F427&lt;'Data &amp; Targets'!$C$10+30,"Due next 30 days","Pending")))))))))</x:f>
      </x:c>
    </x:row>
    <x:row r="428" ht="22" customHeight="1">
      <x:c r="A428" s="107"/>
      <x:c r="B428" s="107"/>
      <x:c r="C428" s="107"/>
      <x:c r="D428" s="107"/>
      <x:c r="E428" s="111"/>
      <x:c r="F428" s="111"/>
      <x:c r="G428" s="109"/>
      <x:c r="H428" s="107"/>
      <x:c r="I428" s="111"/>
      <x:c r="J428" s="107"/>
      <x:c r="K428" t="str">
        <x:f>IF(COUNTA(A428:J428)=0,"",IF(OR(A428="",B428="",D428="",G428="",H428=""),"Complete entry",IF(G428&lt;=0,"Check amount",IF(H428="Cancelled","Cancelled",IF(H428="Cleared",IF(I428="","Enter cash date","Cleared"),IF(H428="Bounced","Follow up bounced",IF(F428="","Enter expected date",IF(F428&lt;'Data &amp; Targets'!$C$10,"Overdue",IF(F428&lt;'Data &amp; Targets'!$C$10+30,"Due next 30 days","Pending")))))))))</x:f>
      </x:c>
    </x:row>
    <x:row r="429" ht="22" customHeight="1">
      <x:c r="A429" s="107"/>
      <x:c r="B429" s="107"/>
      <x:c r="C429" s="107"/>
      <x:c r="D429" s="107"/>
      <x:c r="E429" s="111"/>
      <x:c r="F429" s="111"/>
      <x:c r="G429" s="109"/>
      <x:c r="H429" s="107"/>
      <x:c r="I429" s="111"/>
      <x:c r="J429" s="107"/>
      <x:c r="K429" t="str">
        <x:f>IF(COUNTA(A429:J429)=0,"",IF(OR(A429="",B429="",D429="",G429="",H429=""),"Complete entry",IF(G429&lt;=0,"Check amount",IF(H429="Cancelled","Cancelled",IF(H429="Cleared",IF(I429="","Enter cash date","Cleared"),IF(H429="Bounced","Follow up bounced",IF(F429="","Enter expected date",IF(F429&lt;'Data &amp; Targets'!$C$10,"Overdue",IF(F429&lt;'Data &amp; Targets'!$C$10+30,"Due next 30 days","Pending")))))))))</x:f>
      </x:c>
    </x:row>
    <x:row r="430" ht="22" customHeight="1">
      <x:c r="A430" s="107"/>
      <x:c r="B430" s="107"/>
      <x:c r="C430" s="107"/>
      <x:c r="D430" s="107"/>
      <x:c r="E430" s="111"/>
      <x:c r="F430" s="111"/>
      <x:c r="G430" s="109"/>
      <x:c r="H430" s="107"/>
      <x:c r="I430" s="111"/>
      <x:c r="J430" s="107"/>
      <x:c r="K430" t="str">
        <x:f>IF(COUNTA(A430:J430)=0,"",IF(OR(A430="",B430="",D430="",G430="",H430=""),"Complete entry",IF(G430&lt;=0,"Check amount",IF(H430="Cancelled","Cancelled",IF(H430="Cleared",IF(I430="","Enter cash date","Cleared"),IF(H430="Bounced","Follow up bounced",IF(F430="","Enter expected date",IF(F430&lt;'Data &amp; Targets'!$C$10,"Overdue",IF(F430&lt;'Data &amp; Targets'!$C$10+30,"Due next 30 days","Pending")))))))))</x:f>
      </x:c>
    </x:row>
    <x:row r="431" ht="22" customHeight="1">
      <x:c r="A431" s="107"/>
      <x:c r="B431" s="107"/>
      <x:c r="C431" s="107"/>
      <x:c r="D431" s="107"/>
      <x:c r="E431" s="111"/>
      <x:c r="F431" s="111"/>
      <x:c r="G431" s="109"/>
      <x:c r="H431" s="107"/>
      <x:c r="I431" s="111"/>
      <x:c r="J431" s="107"/>
      <x:c r="K431" t="str">
        <x:f>IF(COUNTA(A431:J431)=0,"",IF(OR(A431="",B431="",D431="",G431="",H431=""),"Complete entry",IF(G431&lt;=0,"Check amount",IF(H431="Cancelled","Cancelled",IF(H431="Cleared",IF(I431="","Enter cash date","Cleared"),IF(H431="Bounced","Follow up bounced",IF(F431="","Enter expected date",IF(F431&lt;'Data &amp; Targets'!$C$10,"Overdue",IF(F431&lt;'Data &amp; Targets'!$C$10+30,"Due next 30 days","Pending")))))))))</x:f>
      </x:c>
    </x:row>
    <x:row r="432" ht="22" customHeight="1">
      <x:c r="A432" s="107"/>
      <x:c r="B432" s="107"/>
      <x:c r="C432" s="107"/>
      <x:c r="D432" s="107"/>
      <x:c r="E432" s="111"/>
      <x:c r="F432" s="111"/>
      <x:c r="G432" s="109"/>
      <x:c r="H432" s="107"/>
      <x:c r="I432" s="111"/>
      <x:c r="J432" s="107"/>
      <x:c r="K432" t="str">
        <x:f>IF(COUNTA(A432:J432)=0,"",IF(OR(A432="",B432="",D432="",G432="",H432=""),"Complete entry",IF(G432&lt;=0,"Check amount",IF(H432="Cancelled","Cancelled",IF(H432="Cleared",IF(I432="","Enter cash date","Cleared"),IF(H432="Bounced","Follow up bounced",IF(F432="","Enter expected date",IF(F432&lt;'Data &amp; Targets'!$C$10,"Overdue",IF(F432&lt;'Data &amp; Targets'!$C$10+30,"Due next 30 days","Pending")))))))))</x:f>
      </x:c>
    </x:row>
    <x:row r="433" ht="22" customHeight="1">
      <x:c r="A433" s="107"/>
      <x:c r="B433" s="107"/>
      <x:c r="C433" s="107"/>
      <x:c r="D433" s="107"/>
      <x:c r="E433" s="111"/>
      <x:c r="F433" s="111"/>
      <x:c r="G433" s="109"/>
      <x:c r="H433" s="107"/>
      <x:c r="I433" s="111"/>
      <x:c r="J433" s="107"/>
      <x:c r="K433" t="str">
        <x:f>IF(COUNTA(A433:J433)=0,"",IF(OR(A433="",B433="",D433="",G433="",H433=""),"Complete entry",IF(G433&lt;=0,"Check amount",IF(H433="Cancelled","Cancelled",IF(H433="Cleared",IF(I433="","Enter cash date","Cleared"),IF(H433="Bounced","Follow up bounced",IF(F433="","Enter expected date",IF(F433&lt;'Data &amp; Targets'!$C$10,"Overdue",IF(F433&lt;'Data &amp; Targets'!$C$10+30,"Due next 30 days","Pending")))))))))</x:f>
      </x:c>
    </x:row>
    <x:row r="434" ht="22" customHeight="1">
      <x:c r="A434" s="107"/>
      <x:c r="B434" s="107"/>
      <x:c r="C434" s="107"/>
      <x:c r="D434" s="107"/>
      <x:c r="E434" s="111"/>
      <x:c r="F434" s="111"/>
      <x:c r="G434" s="109"/>
      <x:c r="H434" s="107"/>
      <x:c r="I434" s="111"/>
      <x:c r="J434" s="107"/>
      <x:c r="K434" t="str">
        <x:f>IF(COUNTA(A434:J434)=0,"",IF(OR(A434="",B434="",D434="",G434="",H434=""),"Complete entry",IF(G434&lt;=0,"Check amount",IF(H434="Cancelled","Cancelled",IF(H434="Cleared",IF(I434="","Enter cash date","Cleared"),IF(H434="Bounced","Follow up bounced",IF(F434="","Enter expected date",IF(F434&lt;'Data &amp; Targets'!$C$10,"Overdue",IF(F434&lt;'Data &amp; Targets'!$C$10+30,"Due next 30 days","Pending")))))))))</x:f>
      </x:c>
    </x:row>
    <x:row r="435" ht="22" customHeight="1">
      <x:c r="A435" s="107"/>
      <x:c r="B435" s="107"/>
      <x:c r="C435" s="107"/>
      <x:c r="D435" s="107"/>
      <x:c r="E435" s="111"/>
      <x:c r="F435" s="111"/>
      <x:c r="G435" s="109"/>
      <x:c r="H435" s="107"/>
      <x:c r="I435" s="111"/>
      <x:c r="J435" s="107"/>
      <x:c r="K435" t="str">
        <x:f>IF(COUNTA(A435:J435)=0,"",IF(OR(A435="",B435="",D435="",G435="",H435=""),"Complete entry",IF(G435&lt;=0,"Check amount",IF(H435="Cancelled","Cancelled",IF(H435="Cleared",IF(I435="","Enter cash date","Cleared"),IF(H435="Bounced","Follow up bounced",IF(F435="","Enter expected date",IF(F435&lt;'Data &amp; Targets'!$C$10,"Overdue",IF(F435&lt;'Data &amp; Targets'!$C$10+30,"Due next 30 days","Pending")))))))))</x:f>
      </x:c>
    </x:row>
    <x:row r="436" ht="22" customHeight="1">
      <x:c r="A436" s="107"/>
      <x:c r="B436" s="107"/>
      <x:c r="C436" s="107"/>
      <x:c r="D436" s="107"/>
      <x:c r="E436" s="111"/>
      <x:c r="F436" s="111"/>
      <x:c r="G436" s="109"/>
      <x:c r="H436" s="107"/>
      <x:c r="I436" s="111"/>
      <x:c r="J436" s="107"/>
      <x:c r="K436" t="str">
        <x:f>IF(COUNTA(A436:J436)=0,"",IF(OR(A436="",B436="",D436="",G436="",H436=""),"Complete entry",IF(G436&lt;=0,"Check amount",IF(H436="Cancelled","Cancelled",IF(H436="Cleared",IF(I436="","Enter cash date","Cleared"),IF(H436="Bounced","Follow up bounced",IF(F436="","Enter expected date",IF(F436&lt;'Data &amp; Targets'!$C$10,"Overdue",IF(F436&lt;'Data &amp; Targets'!$C$10+30,"Due next 30 days","Pending")))))))))</x:f>
      </x:c>
    </x:row>
    <x:row r="437" ht="22" customHeight="1">
      <x:c r="A437" s="107"/>
      <x:c r="B437" s="107"/>
      <x:c r="C437" s="107"/>
      <x:c r="D437" s="107"/>
      <x:c r="E437" s="111"/>
      <x:c r="F437" s="111"/>
      <x:c r="G437" s="109"/>
      <x:c r="H437" s="107"/>
      <x:c r="I437" s="111"/>
      <x:c r="J437" s="107"/>
      <x:c r="K437" t="str">
        <x:f>IF(COUNTA(A437:J437)=0,"",IF(OR(A437="",B437="",D437="",G437="",H437=""),"Complete entry",IF(G437&lt;=0,"Check amount",IF(H437="Cancelled","Cancelled",IF(H437="Cleared",IF(I437="","Enter cash date","Cleared"),IF(H437="Bounced","Follow up bounced",IF(F437="","Enter expected date",IF(F437&lt;'Data &amp; Targets'!$C$10,"Overdue",IF(F437&lt;'Data &amp; Targets'!$C$10+30,"Due next 30 days","Pending")))))))))</x:f>
      </x:c>
    </x:row>
    <x:row r="438" ht="22" customHeight="1">
      <x:c r="A438" s="107"/>
      <x:c r="B438" s="107"/>
      <x:c r="C438" s="107"/>
      <x:c r="D438" s="107"/>
      <x:c r="E438" s="111"/>
      <x:c r="F438" s="111"/>
      <x:c r="G438" s="109"/>
      <x:c r="H438" s="107"/>
      <x:c r="I438" s="111"/>
      <x:c r="J438" s="107"/>
      <x:c r="K438" t="str">
        <x:f>IF(COUNTA(A438:J438)=0,"",IF(OR(A438="",B438="",D438="",G438="",H438=""),"Complete entry",IF(G438&lt;=0,"Check amount",IF(H438="Cancelled","Cancelled",IF(H438="Cleared",IF(I438="","Enter cash date","Cleared"),IF(H438="Bounced","Follow up bounced",IF(F438="","Enter expected date",IF(F438&lt;'Data &amp; Targets'!$C$10,"Overdue",IF(F438&lt;'Data &amp; Targets'!$C$10+30,"Due next 30 days","Pending")))))))))</x:f>
      </x:c>
    </x:row>
    <x:row r="439" ht="22" customHeight="1">
      <x:c r="A439" s="107"/>
      <x:c r="B439" s="107"/>
      <x:c r="C439" s="107"/>
      <x:c r="D439" s="107"/>
      <x:c r="E439" s="111"/>
      <x:c r="F439" s="111"/>
      <x:c r="G439" s="109"/>
      <x:c r="H439" s="107"/>
      <x:c r="I439" s="111"/>
      <x:c r="J439" s="107"/>
      <x:c r="K439" t="str">
        <x:f>IF(COUNTA(A439:J439)=0,"",IF(OR(A439="",B439="",D439="",G439="",H439=""),"Complete entry",IF(G439&lt;=0,"Check amount",IF(H439="Cancelled","Cancelled",IF(H439="Cleared",IF(I439="","Enter cash date","Cleared"),IF(H439="Bounced","Follow up bounced",IF(F439="","Enter expected date",IF(F439&lt;'Data &amp; Targets'!$C$10,"Overdue",IF(F439&lt;'Data &amp; Targets'!$C$10+30,"Due next 30 days","Pending")))))))))</x:f>
      </x:c>
    </x:row>
    <x:row r="440" ht="22" customHeight="1">
      <x:c r="A440" s="107"/>
      <x:c r="B440" s="107"/>
      <x:c r="C440" s="107"/>
      <x:c r="D440" s="107"/>
      <x:c r="E440" s="111"/>
      <x:c r="F440" s="111"/>
      <x:c r="G440" s="109"/>
      <x:c r="H440" s="107"/>
      <x:c r="I440" s="111"/>
      <x:c r="J440" s="107"/>
      <x:c r="K440" t="str">
        <x:f>IF(COUNTA(A440:J440)=0,"",IF(OR(A440="",B440="",D440="",G440="",H440=""),"Complete entry",IF(G440&lt;=0,"Check amount",IF(H440="Cancelled","Cancelled",IF(H440="Cleared",IF(I440="","Enter cash date","Cleared"),IF(H440="Bounced","Follow up bounced",IF(F440="","Enter expected date",IF(F440&lt;'Data &amp; Targets'!$C$10,"Overdue",IF(F440&lt;'Data &amp; Targets'!$C$10+30,"Due next 30 days","Pending")))))))))</x:f>
      </x:c>
    </x:row>
    <x:row r="441" ht="22" customHeight="1">
      <x:c r="A441" s="107"/>
      <x:c r="B441" s="107"/>
      <x:c r="C441" s="107"/>
      <x:c r="D441" s="107"/>
      <x:c r="E441" s="111"/>
      <x:c r="F441" s="111"/>
      <x:c r="G441" s="109"/>
      <x:c r="H441" s="107"/>
      <x:c r="I441" s="111"/>
      <x:c r="J441" s="107"/>
      <x:c r="K441" t="str">
        <x:f>IF(COUNTA(A441:J441)=0,"",IF(OR(A441="",B441="",D441="",G441="",H441=""),"Complete entry",IF(G441&lt;=0,"Check amount",IF(H441="Cancelled","Cancelled",IF(H441="Cleared",IF(I441="","Enter cash date","Cleared"),IF(H441="Bounced","Follow up bounced",IF(F441="","Enter expected date",IF(F441&lt;'Data &amp; Targets'!$C$10,"Overdue",IF(F441&lt;'Data &amp; Targets'!$C$10+30,"Due next 30 days","Pending")))))))))</x:f>
      </x:c>
    </x:row>
    <x:row r="442" ht="22" customHeight="1">
      <x:c r="A442" s="107"/>
      <x:c r="B442" s="107"/>
      <x:c r="C442" s="107"/>
      <x:c r="D442" s="107"/>
      <x:c r="E442" s="111"/>
      <x:c r="F442" s="111"/>
      <x:c r="G442" s="109"/>
      <x:c r="H442" s="107"/>
      <x:c r="I442" s="111"/>
      <x:c r="J442" s="107"/>
      <x:c r="K442" t="str">
        <x:f>IF(COUNTA(A442:J442)=0,"",IF(OR(A442="",B442="",D442="",G442="",H442=""),"Complete entry",IF(G442&lt;=0,"Check amount",IF(H442="Cancelled","Cancelled",IF(H442="Cleared",IF(I442="","Enter cash date","Cleared"),IF(H442="Bounced","Follow up bounced",IF(F442="","Enter expected date",IF(F442&lt;'Data &amp; Targets'!$C$10,"Overdue",IF(F442&lt;'Data &amp; Targets'!$C$10+30,"Due next 30 days","Pending")))))))))</x:f>
      </x:c>
    </x:row>
    <x:row r="443" ht="22" customHeight="1">
      <x:c r="A443" s="107"/>
      <x:c r="B443" s="107"/>
      <x:c r="C443" s="107"/>
      <x:c r="D443" s="107"/>
      <x:c r="E443" s="111"/>
      <x:c r="F443" s="111"/>
      <x:c r="G443" s="109"/>
      <x:c r="H443" s="107"/>
      <x:c r="I443" s="111"/>
      <x:c r="J443" s="107"/>
      <x:c r="K443" t="str">
        <x:f>IF(COUNTA(A443:J443)=0,"",IF(OR(A443="",B443="",D443="",G443="",H443=""),"Complete entry",IF(G443&lt;=0,"Check amount",IF(H443="Cancelled","Cancelled",IF(H443="Cleared",IF(I443="","Enter cash date","Cleared"),IF(H443="Bounced","Follow up bounced",IF(F443="","Enter expected date",IF(F443&lt;'Data &amp; Targets'!$C$10,"Overdue",IF(F443&lt;'Data &amp; Targets'!$C$10+30,"Due next 30 days","Pending")))))))))</x:f>
      </x:c>
    </x:row>
    <x:row r="444" ht="22" customHeight="1">
      <x:c r="A444" s="107"/>
      <x:c r="B444" s="107"/>
      <x:c r="C444" s="107"/>
      <x:c r="D444" s="107"/>
      <x:c r="E444" s="111"/>
      <x:c r="F444" s="111"/>
      <x:c r="G444" s="109"/>
      <x:c r="H444" s="107"/>
      <x:c r="I444" s="111"/>
      <x:c r="J444" s="107"/>
      <x:c r="K444" t="str">
        <x:f>IF(COUNTA(A444:J444)=0,"",IF(OR(A444="",B444="",D444="",G444="",H444=""),"Complete entry",IF(G444&lt;=0,"Check amount",IF(H444="Cancelled","Cancelled",IF(H444="Cleared",IF(I444="","Enter cash date","Cleared"),IF(H444="Bounced","Follow up bounced",IF(F444="","Enter expected date",IF(F444&lt;'Data &amp; Targets'!$C$10,"Overdue",IF(F444&lt;'Data &amp; Targets'!$C$10+30,"Due next 30 days","Pending")))))))))</x:f>
      </x:c>
    </x:row>
    <x:row r="445" ht="22" customHeight="1">
      <x:c r="A445" s="107"/>
      <x:c r="B445" s="107"/>
      <x:c r="C445" s="107"/>
      <x:c r="D445" s="107"/>
      <x:c r="E445" s="111"/>
      <x:c r="F445" s="111"/>
      <x:c r="G445" s="109"/>
      <x:c r="H445" s="107"/>
      <x:c r="I445" s="111"/>
      <x:c r="J445" s="107"/>
      <x:c r="K445" t="str">
        <x:f>IF(COUNTA(A445:J445)=0,"",IF(OR(A445="",B445="",D445="",G445="",H445=""),"Complete entry",IF(G445&lt;=0,"Check amount",IF(H445="Cancelled","Cancelled",IF(H445="Cleared",IF(I445="","Enter cash date","Cleared"),IF(H445="Bounced","Follow up bounced",IF(F445="","Enter expected date",IF(F445&lt;'Data &amp; Targets'!$C$10,"Overdue",IF(F445&lt;'Data &amp; Targets'!$C$10+30,"Due next 30 days","Pending")))))))))</x:f>
      </x:c>
    </x:row>
    <x:row r="446" ht="22" customHeight="1">
      <x:c r="A446" s="107"/>
      <x:c r="B446" s="107"/>
      <x:c r="C446" s="107"/>
      <x:c r="D446" s="107"/>
      <x:c r="E446" s="111"/>
      <x:c r="F446" s="111"/>
      <x:c r="G446" s="109"/>
      <x:c r="H446" s="107"/>
      <x:c r="I446" s="111"/>
      <x:c r="J446" s="107"/>
      <x:c r="K446" t="str">
        <x:f>IF(COUNTA(A446:J446)=0,"",IF(OR(A446="",B446="",D446="",G446="",H446=""),"Complete entry",IF(G446&lt;=0,"Check amount",IF(H446="Cancelled","Cancelled",IF(H446="Cleared",IF(I446="","Enter cash date","Cleared"),IF(H446="Bounced","Follow up bounced",IF(F446="","Enter expected date",IF(F446&lt;'Data &amp; Targets'!$C$10,"Overdue",IF(F446&lt;'Data &amp; Targets'!$C$10+30,"Due next 30 days","Pending")))))))))</x:f>
      </x:c>
    </x:row>
    <x:row r="447" ht="22" customHeight="1">
      <x:c r="A447" s="107"/>
      <x:c r="B447" s="107"/>
      <x:c r="C447" s="107"/>
      <x:c r="D447" s="107"/>
      <x:c r="E447" s="111"/>
      <x:c r="F447" s="111"/>
      <x:c r="G447" s="109"/>
      <x:c r="H447" s="107"/>
      <x:c r="I447" s="111"/>
      <x:c r="J447" s="107"/>
      <x:c r="K447" t="str">
        <x:f>IF(COUNTA(A447:J447)=0,"",IF(OR(A447="",B447="",D447="",G447="",H447=""),"Complete entry",IF(G447&lt;=0,"Check amount",IF(H447="Cancelled","Cancelled",IF(H447="Cleared",IF(I447="","Enter cash date","Cleared"),IF(H447="Bounced","Follow up bounced",IF(F447="","Enter expected date",IF(F447&lt;'Data &amp; Targets'!$C$10,"Overdue",IF(F447&lt;'Data &amp; Targets'!$C$10+30,"Due next 30 days","Pending")))))))))</x:f>
      </x:c>
    </x:row>
    <x:row r="448" ht="22" customHeight="1">
      <x:c r="A448" s="107"/>
      <x:c r="B448" s="107"/>
      <x:c r="C448" s="107"/>
      <x:c r="D448" s="107"/>
      <x:c r="E448" s="111"/>
      <x:c r="F448" s="111"/>
      <x:c r="G448" s="109"/>
      <x:c r="H448" s="107"/>
      <x:c r="I448" s="111"/>
      <x:c r="J448" s="107"/>
      <x:c r="K448" t="str">
        <x:f>IF(COUNTA(A448:J448)=0,"",IF(OR(A448="",B448="",D448="",G448="",H448=""),"Complete entry",IF(G448&lt;=0,"Check amount",IF(H448="Cancelled","Cancelled",IF(H448="Cleared",IF(I448="","Enter cash date","Cleared"),IF(H448="Bounced","Follow up bounced",IF(F448="","Enter expected date",IF(F448&lt;'Data &amp; Targets'!$C$10,"Overdue",IF(F448&lt;'Data &amp; Targets'!$C$10+30,"Due next 30 days","Pending")))))))))</x:f>
      </x:c>
    </x:row>
    <x:row r="449" ht="22" customHeight="1">
      <x:c r="A449" s="107"/>
      <x:c r="B449" s="107"/>
      <x:c r="C449" s="107"/>
      <x:c r="D449" s="107"/>
      <x:c r="E449" s="111"/>
      <x:c r="F449" s="111"/>
      <x:c r="G449" s="109"/>
      <x:c r="H449" s="107"/>
      <x:c r="I449" s="111"/>
      <x:c r="J449" s="107"/>
      <x:c r="K449" t="str">
        <x:f>IF(COUNTA(A449:J449)=0,"",IF(OR(A449="",B449="",D449="",G449="",H449=""),"Complete entry",IF(G449&lt;=0,"Check amount",IF(H449="Cancelled","Cancelled",IF(H449="Cleared",IF(I449="","Enter cash date","Cleared"),IF(H449="Bounced","Follow up bounced",IF(F449="","Enter expected date",IF(F449&lt;'Data &amp; Targets'!$C$10,"Overdue",IF(F449&lt;'Data &amp; Targets'!$C$10+30,"Due next 30 days","Pending")))))))))</x:f>
      </x:c>
    </x:row>
    <x:row r="450" ht="22" customHeight="1">
      <x:c r="A450" s="107"/>
      <x:c r="B450" s="107"/>
      <x:c r="C450" s="107"/>
      <x:c r="D450" s="107"/>
      <x:c r="E450" s="111"/>
      <x:c r="F450" s="111"/>
      <x:c r="G450" s="109"/>
      <x:c r="H450" s="107"/>
      <x:c r="I450" s="111"/>
      <x:c r="J450" s="107"/>
      <x:c r="K450" t="str">
        <x:f>IF(COUNTA(A450:J450)=0,"",IF(OR(A450="",B450="",D450="",G450="",H450=""),"Complete entry",IF(G450&lt;=0,"Check amount",IF(H450="Cancelled","Cancelled",IF(H450="Cleared",IF(I450="","Enter cash date","Cleared"),IF(H450="Bounced","Follow up bounced",IF(F450="","Enter expected date",IF(F450&lt;'Data &amp; Targets'!$C$10,"Overdue",IF(F450&lt;'Data &amp; Targets'!$C$10+30,"Due next 30 days","Pending")))))))))</x:f>
      </x:c>
    </x:row>
    <x:row r="451" ht="22" customHeight="1">
      <x:c r="A451" s="107"/>
      <x:c r="B451" s="107"/>
      <x:c r="C451" s="107"/>
      <x:c r="D451" s="107"/>
      <x:c r="E451" s="111"/>
      <x:c r="F451" s="111"/>
      <x:c r="G451" s="109"/>
      <x:c r="H451" s="107"/>
      <x:c r="I451" s="111"/>
      <x:c r="J451" s="107"/>
      <x:c r="K451" t="str">
        <x:f>IF(COUNTA(A451:J451)=0,"",IF(OR(A451="",B451="",D451="",G451="",H451=""),"Complete entry",IF(G451&lt;=0,"Check amount",IF(H451="Cancelled","Cancelled",IF(H451="Cleared",IF(I451="","Enter cash date","Cleared"),IF(H451="Bounced","Follow up bounced",IF(F451="","Enter expected date",IF(F451&lt;'Data &amp; Targets'!$C$10,"Overdue",IF(F451&lt;'Data &amp; Targets'!$C$10+30,"Due next 30 days","Pending")))))))))</x:f>
      </x:c>
    </x:row>
    <x:row r="452" ht="22" customHeight="1">
      <x:c r="A452" s="107"/>
      <x:c r="B452" s="107"/>
      <x:c r="C452" s="107"/>
      <x:c r="D452" s="107"/>
      <x:c r="E452" s="111"/>
      <x:c r="F452" s="111"/>
      <x:c r="G452" s="109"/>
      <x:c r="H452" s="107"/>
      <x:c r="I452" s="111"/>
      <x:c r="J452" s="107"/>
      <x:c r="K452" t="str">
        <x:f>IF(COUNTA(A452:J452)=0,"",IF(OR(A452="",B452="",D452="",G452="",H452=""),"Complete entry",IF(G452&lt;=0,"Check amount",IF(H452="Cancelled","Cancelled",IF(H452="Cleared",IF(I452="","Enter cash date","Cleared"),IF(H452="Bounced","Follow up bounced",IF(F452="","Enter expected date",IF(F452&lt;'Data &amp; Targets'!$C$10,"Overdue",IF(F452&lt;'Data &amp; Targets'!$C$10+30,"Due next 30 days","Pending")))))))))</x:f>
      </x:c>
    </x:row>
    <x:row r="453" ht="22" customHeight="1">
      <x:c r="A453" s="107"/>
      <x:c r="B453" s="107"/>
      <x:c r="C453" s="107"/>
      <x:c r="D453" s="107"/>
      <x:c r="E453" s="111"/>
      <x:c r="F453" s="111"/>
      <x:c r="G453" s="109"/>
      <x:c r="H453" s="107"/>
      <x:c r="I453" s="111"/>
      <x:c r="J453" s="107"/>
      <x:c r="K453" t="str">
        <x:f>IF(COUNTA(A453:J453)=0,"",IF(OR(A453="",B453="",D453="",G453="",H453=""),"Complete entry",IF(G453&lt;=0,"Check amount",IF(H453="Cancelled","Cancelled",IF(H453="Cleared",IF(I453="","Enter cash date","Cleared"),IF(H453="Bounced","Follow up bounced",IF(F453="","Enter expected date",IF(F453&lt;'Data &amp; Targets'!$C$10,"Overdue",IF(F453&lt;'Data &amp; Targets'!$C$10+30,"Due next 30 days","Pending")))))))))</x:f>
      </x:c>
    </x:row>
    <x:row r="454" ht="22" customHeight="1">
      <x:c r="A454" s="107"/>
      <x:c r="B454" s="107"/>
      <x:c r="C454" s="107"/>
      <x:c r="D454" s="107"/>
      <x:c r="E454" s="111"/>
      <x:c r="F454" s="111"/>
      <x:c r="G454" s="109"/>
      <x:c r="H454" s="107"/>
      <x:c r="I454" s="111"/>
      <x:c r="J454" s="107"/>
      <x:c r="K454" t="str">
        <x:f>IF(COUNTA(A454:J454)=0,"",IF(OR(A454="",B454="",D454="",G454="",H454=""),"Complete entry",IF(G454&lt;=0,"Check amount",IF(H454="Cancelled","Cancelled",IF(H454="Cleared",IF(I454="","Enter cash date","Cleared"),IF(H454="Bounced","Follow up bounced",IF(F454="","Enter expected date",IF(F454&lt;'Data &amp; Targets'!$C$10,"Overdue",IF(F454&lt;'Data &amp; Targets'!$C$10+30,"Due next 30 days","Pending")))))))))</x:f>
      </x:c>
    </x:row>
    <x:row r="455" ht="22" customHeight="1">
      <x:c r="A455" s="107"/>
      <x:c r="B455" s="107"/>
      <x:c r="C455" s="107"/>
      <x:c r="D455" s="107"/>
      <x:c r="E455" s="111"/>
      <x:c r="F455" s="111"/>
      <x:c r="G455" s="109"/>
      <x:c r="H455" s="107"/>
      <x:c r="I455" s="111"/>
      <x:c r="J455" s="107"/>
      <x:c r="K455" t="str">
        <x:f>IF(COUNTA(A455:J455)=0,"",IF(OR(A455="",B455="",D455="",G455="",H455=""),"Complete entry",IF(G455&lt;=0,"Check amount",IF(H455="Cancelled","Cancelled",IF(H455="Cleared",IF(I455="","Enter cash date","Cleared"),IF(H455="Bounced","Follow up bounced",IF(F455="","Enter expected date",IF(F455&lt;'Data &amp; Targets'!$C$10,"Overdue",IF(F455&lt;'Data &amp; Targets'!$C$10+30,"Due next 30 days","Pending")))))))))</x:f>
      </x:c>
    </x:row>
    <x:row r="456" ht="22" customHeight="1">
      <x:c r="A456" s="107"/>
      <x:c r="B456" s="107"/>
      <x:c r="C456" s="107"/>
      <x:c r="D456" s="107"/>
      <x:c r="E456" s="111"/>
      <x:c r="F456" s="111"/>
      <x:c r="G456" s="109"/>
      <x:c r="H456" s="107"/>
      <x:c r="I456" s="111"/>
      <x:c r="J456" s="107"/>
      <x:c r="K456" t="str">
        <x:f>IF(COUNTA(A456:J456)=0,"",IF(OR(A456="",B456="",D456="",G456="",H456=""),"Complete entry",IF(G456&lt;=0,"Check amount",IF(H456="Cancelled","Cancelled",IF(H456="Cleared",IF(I456="","Enter cash date","Cleared"),IF(H456="Bounced","Follow up bounced",IF(F456="","Enter expected date",IF(F456&lt;'Data &amp; Targets'!$C$10,"Overdue",IF(F456&lt;'Data &amp; Targets'!$C$10+30,"Due next 30 days","Pending")))))))))</x:f>
      </x:c>
    </x:row>
    <x:row r="457" ht="22" customHeight="1">
      <x:c r="A457" s="107"/>
      <x:c r="B457" s="107"/>
      <x:c r="C457" s="107"/>
      <x:c r="D457" s="107"/>
      <x:c r="E457" s="111"/>
      <x:c r="F457" s="111"/>
      <x:c r="G457" s="109"/>
      <x:c r="H457" s="107"/>
      <x:c r="I457" s="111"/>
      <x:c r="J457" s="107"/>
      <x:c r="K457" t="str">
        <x:f>IF(COUNTA(A457:J457)=0,"",IF(OR(A457="",B457="",D457="",G457="",H457=""),"Complete entry",IF(G457&lt;=0,"Check amount",IF(H457="Cancelled","Cancelled",IF(H457="Cleared",IF(I457="","Enter cash date","Cleared"),IF(H457="Bounced","Follow up bounced",IF(F457="","Enter expected date",IF(F457&lt;'Data &amp; Targets'!$C$10,"Overdue",IF(F457&lt;'Data &amp; Targets'!$C$10+30,"Due next 30 days","Pending")))))))))</x:f>
      </x:c>
    </x:row>
    <x:row r="458" ht="22" customHeight="1">
      <x:c r="A458" s="107"/>
      <x:c r="B458" s="107"/>
      <x:c r="C458" s="107"/>
      <x:c r="D458" s="107"/>
      <x:c r="E458" s="111"/>
      <x:c r="F458" s="111"/>
      <x:c r="G458" s="109"/>
      <x:c r="H458" s="107"/>
      <x:c r="I458" s="111"/>
      <x:c r="J458" s="107"/>
      <x:c r="K458" t="str">
        <x:f>IF(COUNTA(A458:J458)=0,"",IF(OR(A458="",B458="",D458="",G458="",H458=""),"Complete entry",IF(G458&lt;=0,"Check amount",IF(H458="Cancelled","Cancelled",IF(H458="Cleared",IF(I458="","Enter cash date","Cleared"),IF(H458="Bounced","Follow up bounced",IF(F458="","Enter expected date",IF(F458&lt;'Data &amp; Targets'!$C$10,"Overdue",IF(F458&lt;'Data &amp; Targets'!$C$10+30,"Due next 30 days","Pending")))))))))</x:f>
      </x:c>
    </x:row>
    <x:row r="459" ht="22" customHeight="1">
      <x:c r="A459" s="107"/>
      <x:c r="B459" s="107"/>
      <x:c r="C459" s="107"/>
      <x:c r="D459" s="107"/>
      <x:c r="E459" s="111"/>
      <x:c r="F459" s="111"/>
      <x:c r="G459" s="109"/>
      <x:c r="H459" s="107"/>
      <x:c r="I459" s="111"/>
      <x:c r="J459" s="107"/>
      <x:c r="K459" t="str">
        <x:f>IF(COUNTA(A459:J459)=0,"",IF(OR(A459="",B459="",D459="",G459="",H459=""),"Complete entry",IF(G459&lt;=0,"Check amount",IF(H459="Cancelled","Cancelled",IF(H459="Cleared",IF(I459="","Enter cash date","Cleared"),IF(H459="Bounced","Follow up bounced",IF(F459="","Enter expected date",IF(F459&lt;'Data &amp; Targets'!$C$10,"Overdue",IF(F459&lt;'Data &amp; Targets'!$C$10+30,"Due next 30 days","Pending")))))))))</x:f>
      </x:c>
    </x:row>
    <x:row r="460" ht="22" customHeight="1">
      <x:c r="A460" s="107"/>
      <x:c r="B460" s="107"/>
      <x:c r="C460" s="107"/>
      <x:c r="D460" s="107"/>
      <x:c r="E460" s="111"/>
      <x:c r="F460" s="111"/>
      <x:c r="G460" s="109"/>
      <x:c r="H460" s="107"/>
      <x:c r="I460" s="111"/>
      <x:c r="J460" s="107"/>
      <x:c r="K460" t="str">
        <x:f>IF(COUNTA(A460:J460)=0,"",IF(OR(A460="",B460="",D460="",G460="",H460=""),"Complete entry",IF(G460&lt;=0,"Check amount",IF(H460="Cancelled","Cancelled",IF(H460="Cleared",IF(I460="","Enter cash date","Cleared"),IF(H460="Bounced","Follow up bounced",IF(F460="","Enter expected date",IF(F460&lt;'Data &amp; Targets'!$C$10,"Overdue",IF(F460&lt;'Data &amp; Targets'!$C$10+30,"Due next 30 days","Pending")))))))))</x:f>
      </x:c>
    </x:row>
    <x:row r="461" ht="22" customHeight="1">
      <x:c r="A461" s="107"/>
      <x:c r="B461" s="107"/>
      <x:c r="C461" s="107"/>
      <x:c r="D461" s="107"/>
      <x:c r="E461" s="111"/>
      <x:c r="F461" s="111"/>
      <x:c r="G461" s="109"/>
      <x:c r="H461" s="107"/>
      <x:c r="I461" s="111"/>
      <x:c r="J461" s="107"/>
      <x:c r="K461" t="str">
        <x:f>IF(COUNTA(A461:J461)=0,"",IF(OR(A461="",B461="",D461="",G461="",H461=""),"Complete entry",IF(G461&lt;=0,"Check amount",IF(H461="Cancelled","Cancelled",IF(H461="Cleared",IF(I461="","Enter cash date","Cleared"),IF(H461="Bounced","Follow up bounced",IF(F461="","Enter expected date",IF(F461&lt;'Data &amp; Targets'!$C$10,"Overdue",IF(F461&lt;'Data &amp; Targets'!$C$10+30,"Due next 30 days","Pending")))))))))</x:f>
      </x:c>
    </x:row>
    <x:row r="462" ht="22" customHeight="1">
      <x:c r="A462" s="107"/>
      <x:c r="B462" s="107"/>
      <x:c r="C462" s="107"/>
      <x:c r="D462" s="107"/>
      <x:c r="E462" s="111"/>
      <x:c r="F462" s="111"/>
      <x:c r="G462" s="109"/>
      <x:c r="H462" s="107"/>
      <x:c r="I462" s="111"/>
      <x:c r="J462" s="107"/>
      <x:c r="K462" t="str">
        <x:f>IF(COUNTA(A462:J462)=0,"",IF(OR(A462="",B462="",D462="",G462="",H462=""),"Complete entry",IF(G462&lt;=0,"Check amount",IF(H462="Cancelled","Cancelled",IF(H462="Cleared",IF(I462="","Enter cash date","Cleared"),IF(H462="Bounced","Follow up bounced",IF(F462="","Enter expected date",IF(F462&lt;'Data &amp; Targets'!$C$10,"Overdue",IF(F462&lt;'Data &amp; Targets'!$C$10+30,"Due next 30 days","Pending")))))))))</x:f>
      </x:c>
    </x:row>
    <x:row r="463" ht="22" customHeight="1">
      <x:c r="A463" s="107"/>
      <x:c r="B463" s="107"/>
      <x:c r="C463" s="107"/>
      <x:c r="D463" s="107"/>
      <x:c r="E463" s="111"/>
      <x:c r="F463" s="111"/>
      <x:c r="G463" s="109"/>
      <x:c r="H463" s="107"/>
      <x:c r="I463" s="111"/>
      <x:c r="J463" s="107"/>
      <x:c r="K463" t="str">
        <x:f>IF(COUNTA(A463:J463)=0,"",IF(OR(A463="",B463="",D463="",G463="",H463=""),"Complete entry",IF(G463&lt;=0,"Check amount",IF(H463="Cancelled","Cancelled",IF(H463="Cleared",IF(I463="","Enter cash date","Cleared"),IF(H463="Bounced","Follow up bounced",IF(F463="","Enter expected date",IF(F463&lt;'Data &amp; Targets'!$C$10,"Overdue",IF(F463&lt;'Data &amp; Targets'!$C$10+30,"Due next 30 days","Pending")))))))))</x:f>
      </x:c>
    </x:row>
    <x:row r="464" ht="22" customHeight="1">
      <x:c r="A464" s="107"/>
      <x:c r="B464" s="107"/>
      <x:c r="C464" s="107"/>
      <x:c r="D464" s="107"/>
      <x:c r="E464" s="111"/>
      <x:c r="F464" s="111"/>
      <x:c r="G464" s="109"/>
      <x:c r="H464" s="107"/>
      <x:c r="I464" s="111"/>
      <x:c r="J464" s="107"/>
      <x:c r="K464" t="str">
        <x:f>IF(COUNTA(A464:J464)=0,"",IF(OR(A464="",B464="",D464="",G464="",H464=""),"Complete entry",IF(G464&lt;=0,"Check amount",IF(H464="Cancelled","Cancelled",IF(H464="Cleared",IF(I464="","Enter cash date","Cleared"),IF(H464="Bounced","Follow up bounced",IF(F464="","Enter expected date",IF(F464&lt;'Data &amp; Targets'!$C$10,"Overdue",IF(F464&lt;'Data &amp; Targets'!$C$10+30,"Due next 30 days","Pending")))))))))</x:f>
      </x:c>
    </x:row>
    <x:row r="465" ht="22" customHeight="1">
      <x:c r="A465" s="107"/>
      <x:c r="B465" s="107"/>
      <x:c r="C465" s="107"/>
      <x:c r="D465" s="107"/>
      <x:c r="E465" s="111"/>
      <x:c r="F465" s="111"/>
      <x:c r="G465" s="109"/>
      <x:c r="H465" s="107"/>
      <x:c r="I465" s="111"/>
      <x:c r="J465" s="107"/>
      <x:c r="K465" t="str">
        <x:f>IF(COUNTA(A465:J465)=0,"",IF(OR(A465="",B465="",D465="",G465="",H465=""),"Complete entry",IF(G465&lt;=0,"Check amount",IF(H465="Cancelled","Cancelled",IF(H465="Cleared",IF(I465="","Enter cash date","Cleared"),IF(H465="Bounced","Follow up bounced",IF(F465="","Enter expected date",IF(F465&lt;'Data &amp; Targets'!$C$10,"Overdue",IF(F465&lt;'Data &amp; Targets'!$C$10+30,"Due next 30 days","Pending")))))))))</x:f>
      </x:c>
    </x:row>
    <x:row r="466" ht="22" customHeight="1">
      <x:c r="A466" s="107"/>
      <x:c r="B466" s="107"/>
      <x:c r="C466" s="107"/>
      <x:c r="D466" s="107"/>
      <x:c r="E466" s="111"/>
      <x:c r="F466" s="111"/>
      <x:c r="G466" s="109"/>
      <x:c r="H466" s="107"/>
      <x:c r="I466" s="111"/>
      <x:c r="J466" s="107"/>
      <x:c r="K466" t="str">
        <x:f>IF(COUNTA(A466:J466)=0,"",IF(OR(A466="",B466="",D466="",G466="",H466=""),"Complete entry",IF(G466&lt;=0,"Check amount",IF(H466="Cancelled","Cancelled",IF(H466="Cleared",IF(I466="","Enter cash date","Cleared"),IF(H466="Bounced","Follow up bounced",IF(F466="","Enter expected date",IF(F466&lt;'Data &amp; Targets'!$C$10,"Overdue",IF(F466&lt;'Data &amp; Targets'!$C$10+30,"Due next 30 days","Pending")))))))))</x:f>
      </x:c>
    </x:row>
    <x:row r="467" ht="22" customHeight="1">
      <x:c r="A467" s="107"/>
      <x:c r="B467" s="107"/>
      <x:c r="C467" s="107"/>
      <x:c r="D467" s="107"/>
      <x:c r="E467" s="111"/>
      <x:c r="F467" s="111"/>
      <x:c r="G467" s="109"/>
      <x:c r="H467" s="107"/>
      <x:c r="I467" s="111"/>
      <x:c r="J467" s="107"/>
      <x:c r="K467" t="str">
        <x:f>IF(COUNTA(A467:J467)=0,"",IF(OR(A467="",B467="",D467="",G467="",H467=""),"Complete entry",IF(G467&lt;=0,"Check amount",IF(H467="Cancelled","Cancelled",IF(H467="Cleared",IF(I467="","Enter cash date","Cleared"),IF(H467="Bounced","Follow up bounced",IF(F467="","Enter expected date",IF(F467&lt;'Data &amp; Targets'!$C$10,"Overdue",IF(F467&lt;'Data &amp; Targets'!$C$10+30,"Due next 30 days","Pending")))))))))</x:f>
      </x:c>
    </x:row>
    <x:row r="468" ht="22" customHeight="1">
      <x:c r="A468" s="107"/>
      <x:c r="B468" s="107"/>
      <x:c r="C468" s="107"/>
      <x:c r="D468" s="107"/>
      <x:c r="E468" s="111"/>
      <x:c r="F468" s="111"/>
      <x:c r="G468" s="109"/>
      <x:c r="H468" s="107"/>
      <x:c r="I468" s="111"/>
      <x:c r="J468" s="107"/>
      <x:c r="K468" t="str">
        <x:f>IF(COUNTA(A468:J468)=0,"",IF(OR(A468="",B468="",D468="",G468="",H468=""),"Complete entry",IF(G468&lt;=0,"Check amount",IF(H468="Cancelled","Cancelled",IF(H468="Cleared",IF(I468="","Enter cash date","Cleared"),IF(H468="Bounced","Follow up bounced",IF(F468="","Enter expected date",IF(F468&lt;'Data &amp; Targets'!$C$10,"Overdue",IF(F468&lt;'Data &amp; Targets'!$C$10+30,"Due next 30 days","Pending")))))))))</x:f>
      </x:c>
    </x:row>
    <x:row r="469" ht="22" customHeight="1">
      <x:c r="A469" s="107"/>
      <x:c r="B469" s="107"/>
      <x:c r="C469" s="107"/>
      <x:c r="D469" s="107"/>
      <x:c r="E469" s="111"/>
      <x:c r="F469" s="111"/>
      <x:c r="G469" s="109"/>
      <x:c r="H469" s="107"/>
      <x:c r="I469" s="111"/>
      <x:c r="J469" s="107"/>
      <x:c r="K469" t="str">
        <x:f>IF(COUNTA(A469:J469)=0,"",IF(OR(A469="",B469="",D469="",G469="",H469=""),"Complete entry",IF(G469&lt;=0,"Check amount",IF(H469="Cancelled","Cancelled",IF(H469="Cleared",IF(I469="","Enter cash date","Cleared"),IF(H469="Bounced","Follow up bounced",IF(F469="","Enter expected date",IF(F469&lt;'Data &amp; Targets'!$C$10,"Overdue",IF(F469&lt;'Data &amp; Targets'!$C$10+30,"Due next 30 days","Pending")))))))))</x:f>
      </x:c>
    </x:row>
    <x:row r="470" ht="22" customHeight="1">
      <x:c r="A470" s="107"/>
      <x:c r="B470" s="107"/>
      <x:c r="C470" s="107"/>
      <x:c r="D470" s="107"/>
      <x:c r="E470" s="111"/>
      <x:c r="F470" s="111"/>
      <x:c r="G470" s="109"/>
      <x:c r="H470" s="107"/>
      <x:c r="I470" s="111"/>
      <x:c r="J470" s="107"/>
      <x:c r="K470" t="str">
        <x:f>IF(COUNTA(A470:J470)=0,"",IF(OR(A470="",B470="",D470="",G470="",H470=""),"Complete entry",IF(G470&lt;=0,"Check amount",IF(H470="Cancelled","Cancelled",IF(H470="Cleared",IF(I470="","Enter cash date","Cleared"),IF(H470="Bounced","Follow up bounced",IF(F470="","Enter expected date",IF(F470&lt;'Data &amp; Targets'!$C$10,"Overdue",IF(F470&lt;'Data &amp; Targets'!$C$10+30,"Due next 30 days","Pending")))))))))</x:f>
      </x:c>
    </x:row>
    <x:row r="471" ht="22" customHeight="1">
      <x:c r="A471" s="107"/>
      <x:c r="B471" s="107"/>
      <x:c r="C471" s="107"/>
      <x:c r="D471" s="107"/>
      <x:c r="E471" s="111"/>
      <x:c r="F471" s="111"/>
      <x:c r="G471" s="109"/>
      <x:c r="H471" s="107"/>
      <x:c r="I471" s="111"/>
      <x:c r="J471" s="107"/>
      <x:c r="K471" t="str">
        <x:f>IF(COUNTA(A471:J471)=0,"",IF(OR(A471="",B471="",D471="",G471="",H471=""),"Complete entry",IF(G471&lt;=0,"Check amount",IF(H471="Cancelled","Cancelled",IF(H471="Cleared",IF(I471="","Enter cash date","Cleared"),IF(H471="Bounced","Follow up bounced",IF(F471="","Enter expected date",IF(F471&lt;'Data &amp; Targets'!$C$10,"Overdue",IF(F471&lt;'Data &amp; Targets'!$C$10+30,"Due next 30 days","Pending")))))))))</x:f>
      </x:c>
    </x:row>
    <x:row r="472" ht="22" customHeight="1">
      <x:c r="A472" s="107"/>
      <x:c r="B472" s="107"/>
      <x:c r="C472" s="107"/>
      <x:c r="D472" s="107"/>
      <x:c r="E472" s="111"/>
      <x:c r="F472" s="111"/>
      <x:c r="G472" s="109"/>
      <x:c r="H472" s="107"/>
      <x:c r="I472" s="111"/>
      <x:c r="J472" s="107"/>
      <x:c r="K472" t="str">
        <x:f>IF(COUNTA(A472:J472)=0,"",IF(OR(A472="",B472="",D472="",G472="",H472=""),"Complete entry",IF(G472&lt;=0,"Check amount",IF(H472="Cancelled","Cancelled",IF(H472="Cleared",IF(I472="","Enter cash date","Cleared"),IF(H472="Bounced","Follow up bounced",IF(F472="","Enter expected date",IF(F472&lt;'Data &amp; Targets'!$C$10,"Overdue",IF(F472&lt;'Data &amp; Targets'!$C$10+30,"Due next 30 days","Pending")))))))))</x:f>
      </x:c>
    </x:row>
    <x:row r="473" ht="22" customHeight="1">
      <x:c r="A473" s="107"/>
      <x:c r="B473" s="107"/>
      <x:c r="C473" s="107"/>
      <x:c r="D473" s="107"/>
      <x:c r="E473" s="111"/>
      <x:c r="F473" s="111"/>
      <x:c r="G473" s="109"/>
      <x:c r="H473" s="107"/>
      <x:c r="I473" s="111"/>
      <x:c r="J473" s="107"/>
      <x:c r="K473" t="str">
        <x:f>IF(COUNTA(A473:J473)=0,"",IF(OR(A473="",B473="",D473="",G473="",H473=""),"Complete entry",IF(G473&lt;=0,"Check amount",IF(H473="Cancelled","Cancelled",IF(H473="Cleared",IF(I473="","Enter cash date","Cleared"),IF(H473="Bounced","Follow up bounced",IF(F473="","Enter expected date",IF(F473&lt;'Data &amp; Targets'!$C$10,"Overdue",IF(F473&lt;'Data &amp; Targets'!$C$10+30,"Due next 30 days","Pending")))))))))</x:f>
      </x:c>
    </x:row>
    <x:row r="474" ht="22" customHeight="1">
      <x:c r="A474" s="107"/>
      <x:c r="B474" s="107"/>
      <x:c r="C474" s="107"/>
      <x:c r="D474" s="107"/>
      <x:c r="E474" s="111"/>
      <x:c r="F474" s="111"/>
      <x:c r="G474" s="109"/>
      <x:c r="H474" s="107"/>
      <x:c r="I474" s="111"/>
      <x:c r="J474" s="107"/>
      <x:c r="K474" t="str">
        <x:f>IF(COUNTA(A474:J474)=0,"",IF(OR(A474="",B474="",D474="",G474="",H474=""),"Complete entry",IF(G474&lt;=0,"Check amount",IF(H474="Cancelled","Cancelled",IF(H474="Cleared",IF(I474="","Enter cash date","Cleared"),IF(H474="Bounced","Follow up bounced",IF(F474="","Enter expected date",IF(F474&lt;'Data &amp; Targets'!$C$10,"Overdue",IF(F474&lt;'Data &amp; Targets'!$C$10+30,"Due next 30 days","Pending")))))))))</x:f>
      </x:c>
    </x:row>
    <x:row r="475" ht="22" customHeight="1">
      <x:c r="A475" s="107"/>
      <x:c r="B475" s="107"/>
      <x:c r="C475" s="107"/>
      <x:c r="D475" s="107"/>
      <x:c r="E475" s="111"/>
      <x:c r="F475" s="111"/>
      <x:c r="G475" s="109"/>
      <x:c r="H475" s="107"/>
      <x:c r="I475" s="111"/>
      <x:c r="J475" s="107"/>
      <x:c r="K475" t="str">
        <x:f>IF(COUNTA(A475:J475)=0,"",IF(OR(A475="",B475="",D475="",G475="",H475=""),"Complete entry",IF(G475&lt;=0,"Check amount",IF(H475="Cancelled","Cancelled",IF(H475="Cleared",IF(I475="","Enter cash date","Cleared"),IF(H475="Bounced","Follow up bounced",IF(F475="","Enter expected date",IF(F475&lt;'Data &amp; Targets'!$C$10,"Overdue",IF(F475&lt;'Data &amp; Targets'!$C$10+30,"Due next 30 days","Pending")))))))))</x:f>
      </x:c>
    </x:row>
    <x:row r="476" ht="22" customHeight="1">
      <x:c r="A476" s="107"/>
      <x:c r="B476" s="107"/>
      <x:c r="C476" s="107"/>
      <x:c r="D476" s="107"/>
      <x:c r="E476" s="111"/>
      <x:c r="F476" s="111"/>
      <x:c r="G476" s="109"/>
      <x:c r="H476" s="107"/>
      <x:c r="I476" s="111"/>
      <x:c r="J476" s="107"/>
      <x:c r="K476" t="str">
        <x:f>IF(COUNTA(A476:J476)=0,"",IF(OR(A476="",B476="",D476="",G476="",H476=""),"Complete entry",IF(G476&lt;=0,"Check amount",IF(H476="Cancelled","Cancelled",IF(H476="Cleared",IF(I476="","Enter cash date","Cleared"),IF(H476="Bounced","Follow up bounced",IF(F476="","Enter expected date",IF(F476&lt;'Data &amp; Targets'!$C$10,"Overdue",IF(F476&lt;'Data &amp; Targets'!$C$10+30,"Due next 30 days","Pending")))))))))</x:f>
      </x:c>
    </x:row>
    <x:row r="477" ht="22" customHeight="1">
      <x:c r="A477" s="107"/>
      <x:c r="B477" s="107"/>
      <x:c r="C477" s="107"/>
      <x:c r="D477" s="107"/>
      <x:c r="E477" s="111"/>
      <x:c r="F477" s="111"/>
      <x:c r="G477" s="109"/>
      <x:c r="H477" s="107"/>
      <x:c r="I477" s="111"/>
      <x:c r="J477" s="107"/>
      <x:c r="K477" t="str">
        <x:f>IF(COUNTA(A477:J477)=0,"",IF(OR(A477="",B477="",D477="",G477="",H477=""),"Complete entry",IF(G477&lt;=0,"Check amount",IF(H477="Cancelled","Cancelled",IF(H477="Cleared",IF(I477="","Enter cash date","Cleared"),IF(H477="Bounced","Follow up bounced",IF(F477="","Enter expected date",IF(F477&lt;'Data &amp; Targets'!$C$10,"Overdue",IF(F477&lt;'Data &amp; Targets'!$C$10+30,"Due next 30 days","Pending")))))))))</x:f>
      </x:c>
    </x:row>
    <x:row r="478" ht="22" customHeight="1">
      <x:c r="A478" s="107"/>
      <x:c r="B478" s="107"/>
      <x:c r="C478" s="107"/>
      <x:c r="D478" s="107"/>
      <x:c r="E478" s="111"/>
      <x:c r="F478" s="111"/>
      <x:c r="G478" s="109"/>
      <x:c r="H478" s="107"/>
      <x:c r="I478" s="111"/>
      <x:c r="J478" s="107"/>
      <x:c r="K478" t="str">
        <x:f>IF(COUNTA(A478:J478)=0,"",IF(OR(A478="",B478="",D478="",G478="",H478=""),"Complete entry",IF(G478&lt;=0,"Check amount",IF(H478="Cancelled","Cancelled",IF(H478="Cleared",IF(I478="","Enter cash date","Cleared"),IF(H478="Bounced","Follow up bounced",IF(F478="","Enter expected date",IF(F478&lt;'Data &amp; Targets'!$C$10,"Overdue",IF(F478&lt;'Data &amp; Targets'!$C$10+30,"Due next 30 days","Pending")))))))))</x:f>
      </x:c>
    </x:row>
    <x:row r="479" ht="22" customHeight="1">
      <x:c r="A479" s="107"/>
      <x:c r="B479" s="107"/>
      <x:c r="C479" s="107"/>
      <x:c r="D479" s="107"/>
      <x:c r="E479" s="111"/>
      <x:c r="F479" s="111"/>
      <x:c r="G479" s="109"/>
      <x:c r="H479" s="107"/>
      <x:c r="I479" s="111"/>
      <x:c r="J479" s="107"/>
      <x:c r="K479" t="str">
        <x:f>IF(COUNTA(A479:J479)=0,"",IF(OR(A479="",B479="",D479="",G479="",H479=""),"Complete entry",IF(G479&lt;=0,"Check amount",IF(H479="Cancelled","Cancelled",IF(H479="Cleared",IF(I479="","Enter cash date","Cleared"),IF(H479="Bounced","Follow up bounced",IF(F479="","Enter expected date",IF(F479&lt;'Data &amp; Targets'!$C$10,"Overdue",IF(F479&lt;'Data &amp; Targets'!$C$10+30,"Due next 30 days","Pending")))))))))</x:f>
      </x:c>
    </x:row>
    <x:row r="480" ht="22" customHeight="1">
      <x:c r="A480" s="107"/>
      <x:c r="B480" s="107"/>
      <x:c r="C480" s="107"/>
      <x:c r="D480" s="107"/>
      <x:c r="E480" s="111"/>
      <x:c r="F480" s="111"/>
      <x:c r="G480" s="109"/>
      <x:c r="H480" s="107"/>
      <x:c r="I480" s="111"/>
      <x:c r="J480" s="107"/>
      <x:c r="K480" t="str">
        <x:f>IF(COUNTA(A480:J480)=0,"",IF(OR(A480="",B480="",D480="",G480="",H480=""),"Complete entry",IF(G480&lt;=0,"Check amount",IF(H480="Cancelled","Cancelled",IF(H480="Cleared",IF(I480="","Enter cash date","Cleared"),IF(H480="Bounced","Follow up bounced",IF(F480="","Enter expected date",IF(F480&lt;'Data &amp; Targets'!$C$10,"Overdue",IF(F480&lt;'Data &amp; Targets'!$C$10+30,"Due next 30 days","Pending")))))))))</x:f>
      </x:c>
    </x:row>
    <x:row r="481" ht="22" customHeight="1">
      <x:c r="A481" s="107"/>
      <x:c r="B481" s="107"/>
      <x:c r="C481" s="107"/>
      <x:c r="D481" s="107"/>
      <x:c r="E481" s="111"/>
      <x:c r="F481" s="111"/>
      <x:c r="G481" s="109"/>
      <x:c r="H481" s="107"/>
      <x:c r="I481" s="111"/>
      <x:c r="J481" s="107"/>
      <x:c r="K481" t="str">
        <x:f>IF(COUNTA(A481:J481)=0,"",IF(OR(A481="",B481="",D481="",G481="",H481=""),"Complete entry",IF(G481&lt;=0,"Check amount",IF(H481="Cancelled","Cancelled",IF(H481="Cleared",IF(I481="","Enter cash date","Cleared"),IF(H481="Bounced","Follow up bounced",IF(F481="","Enter expected date",IF(F481&lt;'Data &amp; Targets'!$C$10,"Overdue",IF(F481&lt;'Data &amp; Targets'!$C$10+30,"Due next 30 days","Pending")))))))))</x:f>
      </x:c>
    </x:row>
    <x:row r="482" ht="22" customHeight="1">
      <x:c r="A482" s="107"/>
      <x:c r="B482" s="107"/>
      <x:c r="C482" s="107"/>
      <x:c r="D482" s="107"/>
      <x:c r="E482" s="111"/>
      <x:c r="F482" s="111"/>
      <x:c r="G482" s="109"/>
      <x:c r="H482" s="107"/>
      <x:c r="I482" s="111"/>
      <x:c r="J482" s="107"/>
      <x:c r="K482" t="str">
        <x:f>IF(COUNTA(A482:J482)=0,"",IF(OR(A482="",B482="",D482="",G482="",H482=""),"Complete entry",IF(G482&lt;=0,"Check amount",IF(H482="Cancelled","Cancelled",IF(H482="Cleared",IF(I482="","Enter cash date","Cleared"),IF(H482="Bounced","Follow up bounced",IF(F482="","Enter expected date",IF(F482&lt;'Data &amp; Targets'!$C$10,"Overdue",IF(F482&lt;'Data &amp; Targets'!$C$10+30,"Due next 30 days","Pending")))))))))</x:f>
      </x:c>
    </x:row>
    <x:row r="483" ht="22" customHeight="1">
      <x:c r="A483" s="107"/>
      <x:c r="B483" s="107"/>
      <x:c r="C483" s="107"/>
      <x:c r="D483" s="107"/>
      <x:c r="E483" s="111"/>
      <x:c r="F483" s="111"/>
      <x:c r="G483" s="109"/>
      <x:c r="H483" s="107"/>
      <x:c r="I483" s="111"/>
      <x:c r="J483" s="107"/>
      <x:c r="K483" t="str">
        <x:f>IF(COUNTA(A483:J483)=0,"",IF(OR(A483="",B483="",D483="",G483="",H483=""),"Complete entry",IF(G483&lt;=0,"Check amount",IF(H483="Cancelled","Cancelled",IF(H483="Cleared",IF(I483="","Enter cash date","Cleared"),IF(H483="Bounced","Follow up bounced",IF(F483="","Enter expected date",IF(F483&lt;'Data &amp; Targets'!$C$10,"Overdue",IF(F483&lt;'Data &amp; Targets'!$C$10+30,"Due next 30 days","Pending")))))))))</x:f>
      </x:c>
    </x:row>
    <x:row r="484" ht="22" customHeight="1">
      <x:c r="A484" s="107"/>
      <x:c r="B484" s="107"/>
      <x:c r="C484" s="107"/>
      <x:c r="D484" s="107"/>
      <x:c r="E484" s="111"/>
      <x:c r="F484" s="111"/>
      <x:c r="G484" s="109"/>
      <x:c r="H484" s="107"/>
      <x:c r="I484" s="111"/>
      <x:c r="J484" s="107"/>
      <x:c r="K484" t="str">
        <x:f>IF(COUNTA(A484:J484)=0,"",IF(OR(A484="",B484="",D484="",G484="",H484=""),"Complete entry",IF(G484&lt;=0,"Check amount",IF(H484="Cancelled","Cancelled",IF(H484="Cleared",IF(I484="","Enter cash date","Cleared"),IF(H484="Bounced","Follow up bounced",IF(F484="","Enter expected date",IF(F484&lt;'Data &amp; Targets'!$C$10,"Overdue",IF(F484&lt;'Data &amp; Targets'!$C$10+30,"Due next 30 days","Pending")))))))))</x:f>
      </x:c>
    </x:row>
    <x:row r="485" ht="22" customHeight="1">
      <x:c r="A485" s="107"/>
      <x:c r="B485" s="107"/>
      <x:c r="C485" s="107"/>
      <x:c r="D485" s="107"/>
      <x:c r="E485" s="111"/>
      <x:c r="F485" s="111"/>
      <x:c r="G485" s="109"/>
      <x:c r="H485" s="107"/>
      <x:c r="I485" s="111"/>
      <x:c r="J485" s="107"/>
      <x:c r="K485" t="str">
        <x:f>IF(COUNTA(A485:J485)=0,"",IF(OR(A485="",B485="",D485="",G485="",H485=""),"Complete entry",IF(G485&lt;=0,"Check amount",IF(H485="Cancelled","Cancelled",IF(H485="Cleared",IF(I485="","Enter cash date","Cleared"),IF(H485="Bounced","Follow up bounced",IF(F485="","Enter expected date",IF(F485&lt;'Data &amp; Targets'!$C$10,"Overdue",IF(F485&lt;'Data &amp; Targets'!$C$10+30,"Due next 30 days","Pending")))))))))</x:f>
      </x:c>
    </x:row>
    <x:row r="486" ht="22" customHeight="1">
      <x:c r="A486" s="107"/>
      <x:c r="B486" s="107"/>
      <x:c r="C486" s="107"/>
      <x:c r="D486" s="107"/>
      <x:c r="E486" s="111"/>
      <x:c r="F486" s="111"/>
      <x:c r="G486" s="109"/>
      <x:c r="H486" s="107"/>
      <x:c r="I486" s="111"/>
      <x:c r="J486" s="107"/>
      <x:c r="K486" t="str">
        <x:f>IF(COUNTA(A486:J486)=0,"",IF(OR(A486="",B486="",D486="",G486="",H486=""),"Complete entry",IF(G486&lt;=0,"Check amount",IF(H486="Cancelled","Cancelled",IF(H486="Cleared",IF(I486="","Enter cash date","Cleared"),IF(H486="Bounced","Follow up bounced",IF(F486="","Enter expected date",IF(F486&lt;'Data &amp; Targets'!$C$10,"Overdue",IF(F486&lt;'Data &amp; Targets'!$C$10+30,"Due next 30 days","Pending")))))))))</x:f>
      </x:c>
    </x:row>
    <x:row r="487" ht="22" customHeight="1">
      <x:c r="A487" s="107"/>
      <x:c r="B487" s="107"/>
      <x:c r="C487" s="107"/>
      <x:c r="D487" s="107"/>
      <x:c r="E487" s="111"/>
      <x:c r="F487" s="111"/>
      <x:c r="G487" s="109"/>
      <x:c r="H487" s="107"/>
      <x:c r="I487" s="111"/>
      <x:c r="J487" s="107"/>
      <x:c r="K487" t="str">
        <x:f>IF(COUNTA(A487:J487)=0,"",IF(OR(A487="",B487="",D487="",G487="",H487=""),"Complete entry",IF(G487&lt;=0,"Check amount",IF(H487="Cancelled","Cancelled",IF(H487="Cleared",IF(I487="","Enter cash date","Cleared"),IF(H487="Bounced","Follow up bounced",IF(F487="","Enter expected date",IF(F487&lt;'Data &amp; Targets'!$C$10,"Overdue",IF(F487&lt;'Data &amp; Targets'!$C$10+30,"Due next 30 days","Pending")))))))))</x:f>
      </x:c>
    </x:row>
    <x:row r="488" ht="22" customHeight="1">
      <x:c r="A488" s="107"/>
      <x:c r="B488" s="107"/>
      <x:c r="C488" s="107"/>
      <x:c r="D488" s="107"/>
      <x:c r="E488" s="111"/>
      <x:c r="F488" s="111"/>
      <x:c r="G488" s="109"/>
      <x:c r="H488" s="107"/>
      <x:c r="I488" s="111"/>
      <x:c r="J488" s="107"/>
      <x:c r="K488" t="str">
        <x:f>IF(COUNTA(A488:J488)=0,"",IF(OR(A488="",B488="",D488="",G488="",H488=""),"Complete entry",IF(G488&lt;=0,"Check amount",IF(H488="Cancelled","Cancelled",IF(H488="Cleared",IF(I488="","Enter cash date","Cleared"),IF(H488="Bounced","Follow up bounced",IF(F488="","Enter expected date",IF(F488&lt;'Data &amp; Targets'!$C$10,"Overdue",IF(F488&lt;'Data &amp; Targets'!$C$10+30,"Due next 30 days","Pending")))))))))</x:f>
      </x:c>
    </x:row>
    <x:row r="489" ht="22" customHeight="1">
      <x:c r="A489" s="107"/>
      <x:c r="B489" s="107"/>
      <x:c r="C489" s="107"/>
      <x:c r="D489" s="107"/>
      <x:c r="E489" s="111"/>
      <x:c r="F489" s="111"/>
      <x:c r="G489" s="109"/>
      <x:c r="H489" s="107"/>
      <x:c r="I489" s="111"/>
      <x:c r="J489" s="107"/>
      <x:c r="K489" t="str">
        <x:f>IF(COUNTA(A489:J489)=0,"",IF(OR(A489="",B489="",D489="",G489="",H489=""),"Complete entry",IF(G489&lt;=0,"Check amount",IF(H489="Cancelled","Cancelled",IF(H489="Cleared",IF(I489="","Enter cash date","Cleared"),IF(H489="Bounced","Follow up bounced",IF(F489="","Enter expected date",IF(F489&lt;'Data &amp; Targets'!$C$10,"Overdue",IF(F489&lt;'Data &amp; Targets'!$C$10+30,"Due next 30 days","Pending")))))))))</x:f>
      </x:c>
    </x:row>
    <x:row r="490" ht="22" customHeight="1">
      <x:c r="A490" s="107"/>
      <x:c r="B490" s="107"/>
      <x:c r="C490" s="107"/>
      <x:c r="D490" s="107"/>
      <x:c r="E490" s="111"/>
      <x:c r="F490" s="111"/>
      <x:c r="G490" s="109"/>
      <x:c r="H490" s="107"/>
      <x:c r="I490" s="111"/>
      <x:c r="J490" s="107"/>
      <x:c r="K490" t="str">
        <x:f>IF(COUNTA(A490:J490)=0,"",IF(OR(A490="",B490="",D490="",G490="",H490=""),"Complete entry",IF(G490&lt;=0,"Check amount",IF(H490="Cancelled","Cancelled",IF(H490="Cleared",IF(I490="","Enter cash date","Cleared"),IF(H490="Bounced","Follow up bounced",IF(F490="","Enter expected date",IF(F490&lt;'Data &amp; Targets'!$C$10,"Overdue",IF(F490&lt;'Data &amp; Targets'!$C$10+30,"Due next 30 days","Pending")))))))))</x:f>
      </x:c>
    </x:row>
    <x:row r="491" ht="22" customHeight="1">
      <x:c r="A491" s="107"/>
      <x:c r="B491" s="107"/>
      <x:c r="C491" s="107"/>
      <x:c r="D491" s="107"/>
      <x:c r="E491" s="111"/>
      <x:c r="F491" s="111"/>
      <x:c r="G491" s="109"/>
      <x:c r="H491" s="107"/>
      <x:c r="I491" s="111"/>
      <x:c r="J491" s="107"/>
      <x:c r="K491" t="str">
        <x:f>IF(COUNTA(A491:J491)=0,"",IF(OR(A491="",B491="",D491="",G491="",H491=""),"Complete entry",IF(G491&lt;=0,"Check amount",IF(H491="Cancelled","Cancelled",IF(H491="Cleared",IF(I491="","Enter cash date","Cleared"),IF(H491="Bounced","Follow up bounced",IF(F491="","Enter expected date",IF(F491&lt;'Data &amp; Targets'!$C$10,"Overdue",IF(F491&lt;'Data &amp; Targets'!$C$10+30,"Due next 30 days","Pending")))))))))</x:f>
      </x:c>
    </x:row>
    <x:row r="492" ht="22" customHeight="1">
      <x:c r="A492" s="107"/>
      <x:c r="B492" s="107"/>
      <x:c r="C492" s="107"/>
      <x:c r="D492" s="107"/>
      <x:c r="E492" s="111"/>
      <x:c r="F492" s="111"/>
      <x:c r="G492" s="109"/>
      <x:c r="H492" s="107"/>
      <x:c r="I492" s="111"/>
      <x:c r="J492" s="107"/>
      <x:c r="K492" t="str">
        <x:f>IF(COUNTA(A492:J492)=0,"",IF(OR(A492="",B492="",D492="",G492="",H492=""),"Complete entry",IF(G492&lt;=0,"Check amount",IF(H492="Cancelled","Cancelled",IF(H492="Cleared",IF(I492="","Enter cash date","Cleared"),IF(H492="Bounced","Follow up bounced",IF(F492="","Enter expected date",IF(F492&lt;'Data &amp; Targets'!$C$10,"Overdue",IF(F492&lt;'Data &amp; Targets'!$C$10+30,"Due next 30 days","Pending")))))))))</x:f>
      </x:c>
    </x:row>
    <x:row r="493" ht="22" customHeight="1">
      <x:c r="A493" s="107"/>
      <x:c r="B493" s="107"/>
      <x:c r="C493" s="107"/>
      <x:c r="D493" s="107"/>
      <x:c r="E493" s="111"/>
      <x:c r="F493" s="111"/>
      <x:c r="G493" s="109"/>
      <x:c r="H493" s="107"/>
      <x:c r="I493" s="111"/>
      <x:c r="J493" s="107"/>
      <x:c r="K493" t="str">
        <x:f>IF(COUNTA(A493:J493)=0,"",IF(OR(A493="",B493="",D493="",G493="",H493=""),"Complete entry",IF(G493&lt;=0,"Check amount",IF(H493="Cancelled","Cancelled",IF(H493="Cleared",IF(I493="","Enter cash date","Cleared"),IF(H493="Bounced","Follow up bounced",IF(F493="","Enter expected date",IF(F493&lt;'Data &amp; Targets'!$C$10,"Overdue",IF(F493&lt;'Data &amp; Targets'!$C$10+30,"Due next 30 days","Pending")))))))))</x:f>
      </x:c>
    </x:row>
    <x:row r="494" ht="22" customHeight="1">
      <x:c r="A494" s="107"/>
      <x:c r="B494" s="107"/>
      <x:c r="C494" s="107"/>
      <x:c r="D494" s="107"/>
      <x:c r="E494" s="111"/>
      <x:c r="F494" s="111"/>
      <x:c r="G494" s="109"/>
      <x:c r="H494" s="107"/>
      <x:c r="I494" s="111"/>
      <x:c r="J494" s="107"/>
      <x:c r="K494" t="str">
        <x:f>IF(COUNTA(A494:J494)=0,"",IF(OR(A494="",B494="",D494="",G494="",H494=""),"Complete entry",IF(G494&lt;=0,"Check amount",IF(H494="Cancelled","Cancelled",IF(H494="Cleared",IF(I494="","Enter cash date","Cleared"),IF(H494="Bounced","Follow up bounced",IF(F494="","Enter expected date",IF(F494&lt;'Data &amp; Targets'!$C$10,"Overdue",IF(F494&lt;'Data &amp; Targets'!$C$10+30,"Due next 30 days","Pending")))))))))</x:f>
      </x:c>
    </x:row>
    <x:row r="495" ht="22" customHeight="1">
      <x:c r="A495" s="107"/>
      <x:c r="B495" s="107"/>
      <x:c r="C495" s="107"/>
      <x:c r="D495" s="107"/>
      <x:c r="E495" s="111"/>
      <x:c r="F495" s="111"/>
      <x:c r="G495" s="109"/>
      <x:c r="H495" s="107"/>
      <x:c r="I495" s="111"/>
      <x:c r="J495" s="107"/>
      <x:c r="K495" t="str">
        <x:f>IF(COUNTA(A495:J495)=0,"",IF(OR(A495="",B495="",D495="",G495="",H495=""),"Complete entry",IF(G495&lt;=0,"Check amount",IF(H495="Cancelled","Cancelled",IF(H495="Cleared",IF(I495="","Enter cash date","Cleared"),IF(H495="Bounced","Follow up bounced",IF(F495="","Enter expected date",IF(F495&lt;'Data &amp; Targets'!$C$10,"Overdue",IF(F495&lt;'Data &amp; Targets'!$C$10+30,"Due next 30 days","Pending")))))))))</x:f>
      </x:c>
    </x:row>
    <x:row r="496" ht="22" customHeight="1">
      <x:c r="A496" s="107"/>
      <x:c r="B496" s="107"/>
      <x:c r="C496" s="107"/>
      <x:c r="D496" s="107"/>
      <x:c r="E496" s="111"/>
      <x:c r="F496" s="111"/>
      <x:c r="G496" s="109"/>
      <x:c r="H496" s="107"/>
      <x:c r="I496" s="111"/>
      <x:c r="J496" s="107"/>
      <x:c r="K496" t="str">
        <x:f>IF(COUNTA(A496:J496)=0,"",IF(OR(A496="",B496="",D496="",G496="",H496=""),"Complete entry",IF(G496&lt;=0,"Check amount",IF(H496="Cancelled","Cancelled",IF(H496="Cleared",IF(I496="","Enter cash date","Cleared"),IF(H496="Bounced","Follow up bounced",IF(F496="","Enter expected date",IF(F496&lt;'Data &amp; Targets'!$C$10,"Overdue",IF(F496&lt;'Data &amp; Targets'!$C$10+30,"Due next 30 days","Pending")))))))))</x:f>
      </x:c>
    </x:row>
    <x:row r="497" ht="22" customHeight="1">
      <x:c r="A497" s="107"/>
      <x:c r="B497" s="107"/>
      <x:c r="C497" s="107"/>
      <x:c r="D497" s="107"/>
      <x:c r="E497" s="111"/>
      <x:c r="F497" s="111"/>
      <x:c r="G497" s="109"/>
      <x:c r="H497" s="107"/>
      <x:c r="I497" s="111"/>
      <x:c r="J497" s="107"/>
      <x:c r="K497" t="str">
        <x:f>IF(COUNTA(A497:J497)=0,"",IF(OR(A497="",B497="",D497="",G497="",H497=""),"Complete entry",IF(G497&lt;=0,"Check amount",IF(H497="Cancelled","Cancelled",IF(H497="Cleared",IF(I497="","Enter cash date","Cleared"),IF(H497="Bounced","Follow up bounced",IF(F497="","Enter expected date",IF(F497&lt;'Data &amp; Targets'!$C$10,"Overdue",IF(F497&lt;'Data &amp; Targets'!$C$10+30,"Due next 30 days","Pending")))))))))</x:f>
      </x:c>
    </x:row>
    <x:row r="498" ht="22" customHeight="1">
      <x:c r="A498" s="107"/>
      <x:c r="B498" s="107"/>
      <x:c r="C498" s="107"/>
      <x:c r="D498" s="107"/>
      <x:c r="E498" s="111"/>
      <x:c r="F498" s="111"/>
      <x:c r="G498" s="109"/>
      <x:c r="H498" s="107"/>
      <x:c r="I498" s="111"/>
      <x:c r="J498" s="107"/>
      <x:c r="K498" t="str">
        <x:f>IF(COUNTA(A498:J498)=0,"",IF(OR(A498="",B498="",D498="",G498="",H498=""),"Complete entry",IF(G498&lt;=0,"Check amount",IF(H498="Cancelled","Cancelled",IF(H498="Cleared",IF(I498="","Enter cash date","Cleared"),IF(H498="Bounced","Follow up bounced",IF(F498="","Enter expected date",IF(F498&lt;'Data &amp; Targets'!$C$10,"Overdue",IF(F498&lt;'Data &amp; Targets'!$C$10+30,"Due next 30 days","Pending")))))))))</x:f>
      </x:c>
    </x:row>
    <x:row r="499" ht="22" customHeight="1">
      <x:c r="A499" s="107"/>
      <x:c r="B499" s="107"/>
      <x:c r="C499" s="107"/>
      <x:c r="D499" s="107"/>
      <x:c r="E499" s="111"/>
      <x:c r="F499" s="111"/>
      <x:c r="G499" s="109"/>
      <x:c r="H499" s="107"/>
      <x:c r="I499" s="111"/>
      <x:c r="J499" s="107"/>
      <x:c r="K499" t="str">
        <x:f>IF(COUNTA(A499:J499)=0,"",IF(OR(A499="",B499="",D499="",G499="",H499=""),"Complete entry",IF(G499&lt;=0,"Check amount",IF(H499="Cancelled","Cancelled",IF(H499="Cleared",IF(I499="","Enter cash date","Cleared"),IF(H499="Bounced","Follow up bounced",IF(F499="","Enter expected date",IF(F499&lt;'Data &amp; Targets'!$C$10,"Overdue",IF(F499&lt;'Data &amp; Targets'!$C$10+30,"Due next 30 days","Pending")))))))))</x:f>
      </x:c>
    </x:row>
    <x:row r="500" ht="22" customHeight="1">
      <x:c r="A500" s="107"/>
      <x:c r="B500" s="107"/>
      <x:c r="C500" s="107"/>
      <x:c r="D500" s="107"/>
      <x:c r="E500" s="111"/>
      <x:c r="F500" s="111"/>
      <x:c r="G500" s="109"/>
      <x:c r="H500" s="107"/>
      <x:c r="I500" s="111"/>
      <x:c r="J500" s="107"/>
      <x:c r="K500" t="str">
        <x:f>IF(COUNTA(A500:J500)=0,"",IF(OR(A500="",B500="",D500="",G500="",H500=""),"Complete entry",IF(G500&lt;=0,"Check amount",IF(H500="Cancelled","Cancelled",IF(H500="Cleared",IF(I500="","Enter cash date","Cleared"),IF(H500="Bounced","Follow up bounced",IF(F500="","Enter expected date",IF(F500&lt;'Data &amp; Targets'!$C$10,"Overdue",IF(F500&lt;'Data &amp; Targets'!$C$10+30,"Due next 30 days","Pending")))))))))</x:f>
      </x:c>
    </x:row>
    <x:row r="501" ht="22" customHeight="1">
      <x:c r="A501" s="107"/>
      <x:c r="B501" s="107"/>
      <x:c r="C501" s="107"/>
      <x:c r="D501" s="107"/>
      <x:c r="E501" s="111"/>
      <x:c r="F501" s="111"/>
      <x:c r="G501" s="109"/>
      <x:c r="H501" s="107"/>
      <x:c r="I501" s="111"/>
      <x:c r="J501" s="107"/>
      <x:c r="K501" t="str">
        <x:f>IF(COUNTA(A501:J501)=0,"",IF(OR(A501="",B501="",D501="",G501="",H501=""),"Complete entry",IF(G501&lt;=0,"Check amount",IF(H501="Cancelled","Cancelled",IF(H501="Cleared",IF(I501="","Enter cash date","Cleared"),IF(H501="Bounced","Follow up bounced",IF(F501="","Enter expected date",IF(F501&lt;'Data &amp; Targets'!$C$10,"Overdue",IF(F501&lt;'Data &amp; Targets'!$C$10+30,"Due next 30 days","Pending")))))))))</x:f>
      </x:c>
    </x:row>
    <x:row r="502" ht="22" customHeight="1">
      <x:c r="A502" s="107"/>
      <x:c r="B502" s="107"/>
      <x:c r="C502" s="107"/>
      <x:c r="D502" s="107"/>
      <x:c r="E502" s="111"/>
      <x:c r="F502" s="111"/>
      <x:c r="G502" s="109"/>
      <x:c r="H502" s="107"/>
      <x:c r="I502" s="111"/>
      <x:c r="J502" s="107"/>
      <x:c r="K502" t="str">
        <x:f>IF(COUNTA(A502:J502)=0,"",IF(OR(A502="",B502="",D502="",G502="",H502=""),"Complete entry",IF(G502&lt;=0,"Check amount",IF(H502="Cancelled","Cancelled",IF(H502="Cleared",IF(I502="","Enter cash date","Cleared"),IF(H502="Bounced","Follow up bounced",IF(F502="","Enter expected date",IF(F502&lt;'Data &amp; Targets'!$C$10,"Overdue",IF(F502&lt;'Data &amp; Targets'!$C$10+30,"Due next 30 days","Pending")))))))))</x:f>
      </x:c>
    </x:row>
    <x:row r="503" ht="22" customHeight="1">
      <x:c r="A503" s="107"/>
      <x:c r="B503" s="107"/>
      <x:c r="C503" s="107"/>
      <x:c r="D503" s="107"/>
      <x:c r="E503" s="111"/>
      <x:c r="F503" s="111"/>
      <x:c r="G503" s="109"/>
      <x:c r="H503" s="107"/>
      <x:c r="I503" s="111"/>
      <x:c r="J503" s="107"/>
      <x:c r="K503" t="str">
        <x:f>IF(COUNTA(A503:J503)=0,"",IF(OR(A503="",B503="",D503="",G503="",H503=""),"Complete entry",IF(G503&lt;=0,"Check amount",IF(H503="Cancelled","Cancelled",IF(H503="Cleared",IF(I503="","Enter cash date","Cleared"),IF(H503="Bounced","Follow up bounced",IF(F503="","Enter expected date",IF(F503&lt;'Data &amp; Targets'!$C$10,"Overdue",IF(F503&lt;'Data &amp; Targets'!$C$10+30,"Due next 30 days","Pending")))))))))</x:f>
      </x:c>
    </x:row>
    <x:row r="504" ht="22" customHeight="1">
      <x:c r="A504" s="107"/>
      <x:c r="B504" s="107"/>
      <x:c r="C504" s="107"/>
      <x:c r="D504" s="107"/>
      <x:c r="E504" s="111"/>
      <x:c r="F504" s="111"/>
      <x:c r="G504" s="109"/>
      <x:c r="H504" s="107"/>
      <x:c r="I504" s="111"/>
      <x:c r="J504" s="107"/>
      <x:c r="K504" t="str">
        <x:f>IF(COUNTA(A504:J504)=0,"",IF(OR(A504="",B504="",D504="",G504="",H504=""),"Complete entry",IF(G504&lt;=0,"Check amount",IF(H504="Cancelled","Cancelled",IF(H504="Cleared",IF(I504="","Enter cash date","Cleared"),IF(H504="Bounced","Follow up bounced",IF(F504="","Enter expected date",IF(F504&lt;'Data &amp; Targets'!$C$10,"Overdue",IF(F504&lt;'Data &amp; Targets'!$C$10+30,"Due next 30 days","Pending")))))))))</x:f>
      </x:c>
    </x:row>
    <x:row r="505" ht="22" customHeight="1">
      <x:c r="A505" s="107"/>
      <x:c r="B505" s="107"/>
      <x:c r="C505" s="107"/>
      <x:c r="D505" s="107"/>
      <x:c r="E505" s="111"/>
      <x:c r="F505" s="111"/>
      <x:c r="G505" s="109"/>
      <x:c r="H505" s="107"/>
      <x:c r="I505" s="111"/>
      <x:c r="J505" s="107"/>
      <x:c r="K505" t="str">
        <x:f>IF(COUNTA(A505:J505)=0,"",IF(OR(A505="",B505="",D505="",G505="",H505=""),"Complete entry",IF(G505&lt;=0,"Check amount",IF(H505="Cancelled","Cancelled",IF(H505="Cleared",IF(I505="","Enter cash date","Cleared"),IF(H505="Bounced","Follow up bounced",IF(F505="","Enter expected date",IF(F505&lt;'Data &amp; Targets'!$C$10,"Overdue",IF(F505&lt;'Data &amp; Targets'!$C$10+30,"Due next 30 days","Pending")))))))))</x:f>
      </x:c>
    </x:row>
  </x:sheetData>
  <x:mergeCells>
    <x:mergeCell ref="A3:K3"/>
  </x:mergeCells>
  <x:conditionalFormatting sqref="K6:K505">
    <x:cfRule type="containsText" dxfId="3" priority="1" operator="containsText" text="Overdue"/>
    <x:cfRule type="containsText" dxfId="4" priority="2" operator="containsText" text="Enter"/>
    <x:cfRule type="containsText" dxfId="5" priority="3" operator="containsText" text="Complete"/>
  </x:conditionalFormatting>
  <x:dataValidations count="2">
    <x:dataValidation type="list" sqref="D6:D505">
      <x:formula1>"Check,Transfer,Cash"</x:formula1>
    </x:dataValidation>
    <x:dataValidation type="list" sqref="H6:H505">
      <x:formula1>"Pending,Cleared,Bounced,Cancelled"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388a552277484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18" hidden="0" customWidth="1"/>
    <x:col min="4" max="4" width="30" hidden="0" customWidth="1"/>
    <x:col min="5" max="5" width="18" hidden="0" customWidth="1"/>
    <x:col min="6" max="6" width="20" hidden="0" customWidth="1"/>
    <x:col min="7" max="7" width="16" hidden="0" customWidth="1"/>
    <x:col min="8" max="8" width="18" hidden="0" customWidth="1"/>
    <x:col min="9" max="9" width="28" hidden="0" customWidth="1"/>
    <x:col min="10" max="10" width="24" hidden="0" customWidth="1"/>
  </x:cols>
  <x:sheetData>
    <x:row r="1">
      <x:c r="A1" s="101"/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</x:row>
    <x:row r="2">
      <x:c r="A2" s="102" t="str">
        <x:v>Business expenses (AED)</x:v>
      </x:c>
      <x:c r="B2" s="101"/>
      <x:c r="C2" s="101"/>
      <x:c r="D2" s="101"/>
      <x:c r="E2" s="101"/>
      <x:c r="F2" s="101"/>
      <x:c r="G2" s="101"/>
      <x:c r="H2" s="101"/>
      <x:c r="I2" s="101"/>
      <x:c r="J2" s="101"/>
      <x:c r="K2" s="101"/>
    </x:row>
    <x:row r="3" ht="36" customHeight="1">
      <x:c r="A3" s="103" t="str">
        <x:v>Paid means cash left your account. Enter a paid date. Use Other for categories outside the list. Up to 500 entries.</x:v>
      </x:c>
      <x:c r="B3" s="101"/>
      <x:c r="C3" s="101"/>
      <x:c r="D3" s="101"/>
      <x:c r="E3" s="101"/>
      <x:c r="F3" s="101"/>
      <x:c r="G3" s="101"/>
      <x:c r="H3" s="101"/>
      <x:c r="I3" s="101"/>
      <x:c r="J3" s="101"/>
      <x:c r="K3" s="101"/>
    </x:row>
    <x:row r="4">
      <x:c r="A4" s="101"/>
      <x:c r="B4" s="101"/>
      <x:c r="C4" s="101"/>
      <x:c r="D4" s="101"/>
      <x:c r="E4" s="101"/>
      <x:c r="F4" s="101"/>
      <x:c r="G4" s="101"/>
      <x:c r="H4" s="101"/>
      <x:c r="I4" s="101"/>
      <x:c r="J4" s="101"/>
      <x:c r="K4" s="101"/>
    </x:row>
    <x:row r="5" ht="30" customHeight="1">
      <x:c r="A5" s="105" t="str">
        <x:v>ID</x:v>
      </x:c>
      <x:c r="B5" s="105" t="str">
        <x:v>Supplier / payee</x:v>
      </x:c>
      <x:c r="C5" s="105" t="str">
        <x:v>Category</x:v>
      </x:c>
      <x:c r="D5" s="105" t="str">
        <x:v>Description</x:v>
      </x:c>
      <x:c r="E5" s="105" t="str">
        <x:v>Due date</x:v>
      </x:c>
      <x:c r="F5" s="105" t="str">
        <x:v>Amount (AED)</x:v>
      </x:c>
      <x:c r="G5" s="105" t="str">
        <x:v>Status</x:v>
      </x:c>
      <x:c r="H5" s="105" t="str">
        <x:v>Paid date</x:v>
      </x:c>
      <x:c r="I5" s="105" t="str">
        <x:v>Notes</x:v>
      </x:c>
      <x:c r="J5" s="105" t="str">
        <x:v>Action</x:v>
      </x:c>
      <x:c r="K5" s="101"/>
    </x:row>
    <x:row r="6" ht="22" customHeight="1">
      <x:c r="A6" s="106"/>
      <x:c r="B6" s="106"/>
      <x:c r="C6" s="106"/>
      <x:c r="D6" s="106"/>
      <x:c r="E6" s="110"/>
      <x:c r="F6" s="108"/>
      <x:c r="G6" s="106"/>
      <x:c r="H6" s="110"/>
      <x:c r="I6" s="106"/>
      <x:c r="J6" s="101" t="str">
        <x:f>IF(COUNTA(A6:I6)=0,"",IF(OR(A6="",B6="",C6="",F6="",G6=""),"Complete entry",IF(F6&lt;=0,"Check amount",IF(G6="Cancelled","Cancelled",IF(G6="Paid",IF(H6="","Enter paid date","Paid"),IF(E6="","Enter due date",IF(E6&lt;'Data &amp; Targets'!$C$10,"Overdue",IF(E6&lt;'Data &amp; Targets'!$C$10+30,"Due next 30 days","Unpaid"))))))))</x:f>
      </x:c>
      <x:c r="K6" s="101"/>
    </x:row>
    <x:row r="7" ht="22" customHeight="1">
      <x:c r="A7" s="106"/>
      <x:c r="B7" s="106"/>
      <x:c r="C7" s="106"/>
      <x:c r="D7" s="106"/>
      <x:c r="E7" s="110"/>
      <x:c r="F7" s="108"/>
      <x:c r="G7" s="106"/>
      <x:c r="H7" s="110"/>
      <x:c r="I7" s="106"/>
      <x:c r="J7" s="101" t="str">
        <x:f>IF(COUNTA(A7:I7)=0,"",IF(OR(A7="",B7="",C7="",F7="",G7=""),"Complete entry",IF(F7&lt;=0,"Check amount",IF(G7="Cancelled","Cancelled",IF(G7="Paid",IF(H7="","Enter paid date","Paid"),IF(E7="","Enter due date",IF(E7&lt;'Data &amp; Targets'!$C$10,"Overdue",IF(E7&lt;'Data &amp; Targets'!$C$10+30,"Due next 30 days","Unpaid"))))))))</x:f>
      </x:c>
      <x:c r="K7" s="101"/>
    </x:row>
    <x:row r="8" ht="22" customHeight="1">
      <x:c r="A8" s="106"/>
      <x:c r="B8" s="106"/>
      <x:c r="C8" s="106"/>
      <x:c r="D8" s="106"/>
      <x:c r="E8" s="110"/>
      <x:c r="F8" s="108"/>
      <x:c r="G8" s="106"/>
      <x:c r="H8" s="110"/>
      <x:c r="I8" s="106"/>
      <x:c r="J8" s="101" t="str">
        <x:f>IF(COUNTA(A8:I8)=0,"",IF(OR(A8="",B8="",C8="",F8="",G8=""),"Complete entry",IF(F8&lt;=0,"Check amount",IF(G8="Cancelled","Cancelled",IF(G8="Paid",IF(H8="","Enter paid date","Paid"),IF(E8="","Enter due date",IF(E8&lt;'Data &amp; Targets'!$C$10,"Overdue",IF(E8&lt;'Data &amp; Targets'!$C$10+30,"Due next 30 days","Unpaid"))))))))</x:f>
      </x:c>
      <x:c r="K8" s="101"/>
    </x:row>
    <x:row r="9" ht="22" customHeight="1">
      <x:c r="A9" s="106"/>
      <x:c r="B9" s="106"/>
      <x:c r="C9" s="106"/>
      <x:c r="D9" s="106"/>
      <x:c r="E9" s="110"/>
      <x:c r="F9" s="108"/>
      <x:c r="G9" s="106"/>
      <x:c r="H9" s="110"/>
      <x:c r="I9" s="106"/>
      <x:c r="J9" s="101" t="str">
        <x:f>IF(COUNTA(A9:I9)=0,"",IF(OR(A9="",B9="",C9="",F9="",G9=""),"Complete entry",IF(F9&lt;=0,"Check amount",IF(G9="Cancelled","Cancelled",IF(G9="Paid",IF(H9="","Enter paid date","Paid"),IF(E9="","Enter due date",IF(E9&lt;'Data &amp; Targets'!$C$10,"Overdue",IF(E9&lt;'Data &amp; Targets'!$C$10+30,"Due next 30 days","Unpaid"))))))))</x:f>
      </x:c>
      <x:c r="K9" s="101"/>
    </x:row>
    <x:row r="10" ht="22" customHeight="1">
      <x:c r="A10" s="106"/>
      <x:c r="B10" s="106"/>
      <x:c r="C10" s="106"/>
      <x:c r="D10" s="106"/>
      <x:c r="E10" s="110"/>
      <x:c r="F10" s="108"/>
      <x:c r="G10" s="106"/>
      <x:c r="H10" s="110"/>
      <x:c r="I10" s="106"/>
      <x:c r="J10" s="101" t="str">
        <x:f>IF(COUNTA(A10:I10)=0,"",IF(OR(A10="",B10="",C10="",F10="",G10=""),"Complete entry",IF(F10&lt;=0,"Check amount",IF(G10="Cancelled","Cancelled",IF(G10="Paid",IF(H10="","Enter paid date","Paid"),IF(E10="","Enter due date",IF(E10&lt;'Data &amp; Targets'!$C$10,"Overdue",IF(E10&lt;'Data &amp; Targets'!$C$10+30,"Due next 30 days","Unpaid"))))))))</x:f>
      </x:c>
      <x:c r="K10" s="101"/>
    </x:row>
    <x:row r="11" ht="22" customHeight="1">
      <x:c r="A11" s="106"/>
      <x:c r="B11" s="106"/>
      <x:c r="C11" s="106"/>
      <x:c r="D11" s="106"/>
      <x:c r="E11" s="110"/>
      <x:c r="F11" s="108"/>
      <x:c r="G11" s="106"/>
      <x:c r="H11" s="110"/>
      <x:c r="I11" s="106"/>
      <x:c r="J11" s="101" t="str">
        <x:f>IF(COUNTA(A11:I11)=0,"",IF(OR(A11="",B11="",C11="",F11="",G11=""),"Complete entry",IF(F11&lt;=0,"Check amount",IF(G11="Cancelled","Cancelled",IF(G11="Paid",IF(H11="","Enter paid date","Paid"),IF(E11="","Enter due date",IF(E11&lt;'Data &amp; Targets'!$C$10,"Overdue",IF(E11&lt;'Data &amp; Targets'!$C$10+30,"Due next 30 days","Unpaid"))))))))</x:f>
      </x:c>
      <x:c r="K11" s="101"/>
    </x:row>
    <x:row r="12" ht="22" customHeight="1">
      <x:c r="A12" s="106"/>
      <x:c r="B12" s="106"/>
      <x:c r="C12" s="106"/>
      <x:c r="D12" s="106"/>
      <x:c r="E12" s="110"/>
      <x:c r="F12" s="108"/>
      <x:c r="G12" s="106"/>
      <x:c r="H12" s="110"/>
      <x:c r="I12" s="106"/>
      <x:c r="J12" s="101" t="str">
        <x:f>IF(COUNTA(A12:I12)=0,"",IF(OR(A12="",B12="",C12="",F12="",G12=""),"Complete entry",IF(F12&lt;=0,"Check amount",IF(G12="Cancelled","Cancelled",IF(G12="Paid",IF(H12="","Enter paid date","Paid"),IF(E12="","Enter due date",IF(E12&lt;'Data &amp; Targets'!$C$10,"Overdue",IF(E12&lt;'Data &amp; Targets'!$C$10+30,"Due next 30 days","Unpaid"))))))))</x:f>
      </x:c>
      <x:c r="K12" s="101"/>
    </x:row>
    <x:row r="13" ht="22" customHeight="1">
      <x:c r="A13" s="106"/>
      <x:c r="B13" s="106"/>
      <x:c r="C13" s="106"/>
      <x:c r="D13" s="106"/>
      <x:c r="E13" s="110"/>
      <x:c r="F13" s="108"/>
      <x:c r="G13" s="106"/>
      <x:c r="H13" s="110"/>
      <x:c r="I13" s="106"/>
      <x:c r="J13" s="101" t="str">
        <x:f>IF(COUNTA(A13:I13)=0,"",IF(OR(A13="",B13="",C13="",F13="",G13=""),"Complete entry",IF(F13&lt;=0,"Check amount",IF(G13="Cancelled","Cancelled",IF(G13="Paid",IF(H13="","Enter paid date","Paid"),IF(E13="","Enter due date",IF(E13&lt;'Data &amp; Targets'!$C$10,"Overdue",IF(E13&lt;'Data &amp; Targets'!$C$10+30,"Due next 30 days","Unpaid"))))))))</x:f>
      </x:c>
      <x:c r="K13" s="101"/>
    </x:row>
    <x:row r="14" ht="22" customHeight="1">
      <x:c r="A14" s="106"/>
      <x:c r="B14" s="106"/>
      <x:c r="C14" s="106"/>
      <x:c r="D14" s="106"/>
      <x:c r="E14" s="110"/>
      <x:c r="F14" s="108"/>
      <x:c r="G14" s="106"/>
      <x:c r="H14" s="110"/>
      <x:c r="I14" s="106"/>
      <x:c r="J14" s="101" t="str">
        <x:f>IF(COUNTA(A14:I14)=0,"",IF(OR(A14="",B14="",C14="",F14="",G14=""),"Complete entry",IF(F14&lt;=0,"Check amount",IF(G14="Cancelled","Cancelled",IF(G14="Paid",IF(H14="","Enter paid date","Paid"),IF(E14="","Enter due date",IF(E14&lt;'Data &amp; Targets'!$C$10,"Overdue",IF(E14&lt;'Data &amp; Targets'!$C$10+30,"Due next 30 days","Unpaid"))))))))</x:f>
      </x:c>
      <x:c r="K14" s="101"/>
    </x:row>
    <x:row r="15" ht="22" customHeight="1">
      <x:c r="A15" s="106"/>
      <x:c r="B15" s="106"/>
      <x:c r="C15" s="106"/>
      <x:c r="D15" s="106"/>
      <x:c r="E15" s="110"/>
      <x:c r="F15" s="108"/>
      <x:c r="G15" s="106"/>
      <x:c r="H15" s="110"/>
      <x:c r="I15" s="106"/>
      <x:c r="J15" s="101" t="str">
        <x:f>IF(COUNTA(A15:I15)=0,"",IF(OR(A15="",B15="",C15="",F15="",G15=""),"Complete entry",IF(F15&lt;=0,"Check amount",IF(G15="Cancelled","Cancelled",IF(G15="Paid",IF(H15="","Enter paid date","Paid"),IF(E15="","Enter due date",IF(E15&lt;'Data &amp; Targets'!$C$10,"Overdue",IF(E15&lt;'Data &amp; Targets'!$C$10+30,"Due next 30 days","Unpaid"))))))))</x:f>
      </x:c>
      <x:c r="K15" s="101"/>
    </x:row>
    <x:row r="16" ht="22" customHeight="1">
      <x:c r="A16" s="106"/>
      <x:c r="B16" s="106"/>
      <x:c r="C16" s="106"/>
      <x:c r="D16" s="106"/>
      <x:c r="E16" s="110"/>
      <x:c r="F16" s="108"/>
      <x:c r="G16" s="106"/>
      <x:c r="H16" s="110"/>
      <x:c r="I16" s="106"/>
      <x:c r="J16" s="101" t="str">
        <x:f>IF(COUNTA(A16:I16)=0,"",IF(OR(A16="",B16="",C16="",F16="",G16=""),"Complete entry",IF(F16&lt;=0,"Check amount",IF(G16="Cancelled","Cancelled",IF(G16="Paid",IF(H16="","Enter paid date","Paid"),IF(E16="","Enter due date",IF(E16&lt;'Data &amp; Targets'!$C$10,"Overdue",IF(E16&lt;'Data &amp; Targets'!$C$10+30,"Due next 30 days","Unpaid"))))))))</x:f>
      </x:c>
      <x:c r="K16" s="101"/>
    </x:row>
    <x:row r="17" ht="22" customHeight="1">
      <x:c r="A17" s="106"/>
      <x:c r="B17" s="106"/>
      <x:c r="C17" s="106"/>
      <x:c r="D17" s="106"/>
      <x:c r="E17" s="110"/>
      <x:c r="F17" s="108"/>
      <x:c r="G17" s="106"/>
      <x:c r="H17" s="110"/>
      <x:c r="I17" s="106"/>
      <x:c r="J17" s="101" t="str">
        <x:f>IF(COUNTA(A17:I17)=0,"",IF(OR(A17="",B17="",C17="",F17="",G17=""),"Complete entry",IF(F17&lt;=0,"Check amount",IF(G17="Cancelled","Cancelled",IF(G17="Paid",IF(H17="","Enter paid date","Paid"),IF(E17="","Enter due date",IF(E17&lt;'Data &amp; Targets'!$C$10,"Overdue",IF(E17&lt;'Data &amp; Targets'!$C$10+30,"Due next 30 days","Unpaid"))))))))</x:f>
      </x:c>
      <x:c r="K17" s="101"/>
    </x:row>
    <x:row r="18" ht="22" customHeight="1">
      <x:c r="A18" s="106"/>
      <x:c r="B18" s="106"/>
      <x:c r="C18" s="106"/>
      <x:c r="D18" s="106"/>
      <x:c r="E18" s="110"/>
      <x:c r="F18" s="108"/>
      <x:c r="G18" s="106"/>
      <x:c r="H18" s="110"/>
      <x:c r="I18" s="106"/>
      <x:c r="J18" s="101" t="str">
        <x:f>IF(COUNTA(A18:I18)=0,"",IF(OR(A18="",B18="",C18="",F18="",G18=""),"Complete entry",IF(F18&lt;=0,"Check amount",IF(G18="Cancelled","Cancelled",IF(G18="Paid",IF(H18="","Enter paid date","Paid"),IF(E18="","Enter due date",IF(E18&lt;'Data &amp; Targets'!$C$10,"Overdue",IF(E18&lt;'Data &amp; Targets'!$C$10+30,"Due next 30 days","Unpaid"))))))))</x:f>
      </x:c>
      <x:c r="K18" s="101"/>
    </x:row>
    <x:row r="19" ht="22" customHeight="1">
      <x:c r="A19" s="106"/>
      <x:c r="B19" s="106"/>
      <x:c r="C19" s="106"/>
      <x:c r="D19" s="106"/>
      <x:c r="E19" s="110"/>
      <x:c r="F19" s="108"/>
      <x:c r="G19" s="106"/>
      <x:c r="H19" s="110"/>
      <x:c r="I19" s="106"/>
      <x:c r="J19" s="101" t="str">
        <x:f>IF(COUNTA(A19:I19)=0,"",IF(OR(A19="",B19="",C19="",F19="",G19=""),"Complete entry",IF(F19&lt;=0,"Check amount",IF(G19="Cancelled","Cancelled",IF(G19="Paid",IF(H19="","Enter paid date","Paid"),IF(E19="","Enter due date",IF(E19&lt;'Data &amp; Targets'!$C$10,"Overdue",IF(E19&lt;'Data &amp; Targets'!$C$10+30,"Due next 30 days","Unpaid"))))))))</x:f>
      </x:c>
      <x:c r="K19" s="101"/>
    </x:row>
    <x:row r="20" ht="22" customHeight="1">
      <x:c r="A20" s="106"/>
      <x:c r="B20" s="106"/>
      <x:c r="C20" s="106"/>
      <x:c r="D20" s="106"/>
      <x:c r="E20" s="110"/>
      <x:c r="F20" s="108"/>
      <x:c r="G20" s="106"/>
      <x:c r="H20" s="110"/>
      <x:c r="I20" s="106"/>
      <x:c r="J20" s="101" t="str">
        <x:f>IF(COUNTA(A20:I20)=0,"",IF(OR(A20="",B20="",C20="",F20="",G20=""),"Complete entry",IF(F20&lt;=0,"Check amount",IF(G20="Cancelled","Cancelled",IF(G20="Paid",IF(H20="","Enter paid date","Paid"),IF(E20="","Enter due date",IF(E20&lt;'Data &amp; Targets'!$C$10,"Overdue",IF(E20&lt;'Data &amp; Targets'!$C$10+30,"Due next 30 days","Unpaid"))))))))</x:f>
      </x:c>
      <x:c r="K20" s="101"/>
    </x:row>
    <x:row r="21" ht="22" customHeight="1">
      <x:c r="A21" s="107"/>
      <x:c r="B21" s="107"/>
      <x:c r="C21" s="107"/>
      <x:c r="D21" s="107"/>
      <x:c r="E21" s="111"/>
      <x:c r="F21" s="109"/>
      <x:c r="G21" s="107"/>
      <x:c r="H21" s="111"/>
      <x:c r="I21" s="107"/>
      <x:c r="J21" t="str">
        <x:f>IF(COUNTA(A21:I21)=0,"",IF(OR(A21="",B21="",C21="",F21="",G21=""),"Complete entry",IF(F21&lt;=0,"Check amount",IF(G21="Cancelled","Cancelled",IF(G21="Paid",IF(H21="","Enter paid date","Paid"),IF(E21="","Enter due date",IF(E21&lt;'Data &amp; Targets'!$C$10,"Overdue",IF(E21&lt;'Data &amp; Targets'!$C$10+30,"Due next 30 days","Unpaid"))))))))</x:f>
      </x:c>
    </x:row>
    <x:row r="22" ht="22" customHeight="1">
      <x:c r="A22" s="107"/>
      <x:c r="B22" s="107"/>
      <x:c r="C22" s="107"/>
      <x:c r="D22" s="107"/>
      <x:c r="E22" s="111"/>
      <x:c r="F22" s="109"/>
      <x:c r="G22" s="107"/>
      <x:c r="H22" s="111"/>
      <x:c r="I22" s="107"/>
      <x:c r="J22" t="str">
        <x:f>IF(COUNTA(A22:I22)=0,"",IF(OR(A22="",B22="",C22="",F22="",G22=""),"Complete entry",IF(F22&lt;=0,"Check amount",IF(G22="Cancelled","Cancelled",IF(G22="Paid",IF(H22="","Enter paid date","Paid"),IF(E22="","Enter due date",IF(E22&lt;'Data &amp; Targets'!$C$10,"Overdue",IF(E22&lt;'Data &amp; Targets'!$C$10+30,"Due next 30 days","Unpaid"))))))))</x:f>
      </x:c>
    </x:row>
    <x:row r="23" ht="22" customHeight="1">
      <x:c r="A23" s="107"/>
      <x:c r="B23" s="107"/>
      <x:c r="C23" s="107"/>
      <x:c r="D23" s="107"/>
      <x:c r="E23" s="111"/>
      <x:c r="F23" s="109"/>
      <x:c r="G23" s="107"/>
      <x:c r="H23" s="111"/>
      <x:c r="I23" s="107"/>
      <x:c r="J23" t="str">
        <x:f>IF(COUNTA(A23:I23)=0,"",IF(OR(A23="",B23="",C23="",F23="",G23=""),"Complete entry",IF(F23&lt;=0,"Check amount",IF(G23="Cancelled","Cancelled",IF(G23="Paid",IF(H23="","Enter paid date","Paid"),IF(E23="","Enter due date",IF(E23&lt;'Data &amp; Targets'!$C$10,"Overdue",IF(E23&lt;'Data &amp; Targets'!$C$10+30,"Due next 30 days","Unpaid"))))))))</x:f>
      </x:c>
    </x:row>
    <x:row r="24" ht="22" customHeight="1">
      <x:c r="A24" s="107"/>
      <x:c r="B24" s="107"/>
      <x:c r="C24" s="107"/>
      <x:c r="D24" s="107"/>
      <x:c r="E24" s="111"/>
      <x:c r="F24" s="109"/>
      <x:c r="G24" s="107"/>
      <x:c r="H24" s="111"/>
      <x:c r="I24" s="107"/>
      <x:c r="J24" t="str">
        <x:f>IF(COUNTA(A24:I24)=0,"",IF(OR(A24="",B24="",C24="",F24="",G24=""),"Complete entry",IF(F24&lt;=0,"Check amount",IF(G24="Cancelled","Cancelled",IF(G24="Paid",IF(H24="","Enter paid date","Paid"),IF(E24="","Enter due date",IF(E24&lt;'Data &amp; Targets'!$C$10,"Overdue",IF(E24&lt;'Data &amp; Targets'!$C$10+30,"Due next 30 days","Unpaid"))))))))</x:f>
      </x:c>
    </x:row>
    <x:row r="25" ht="22" customHeight="1">
      <x:c r="A25" s="107"/>
      <x:c r="B25" s="107"/>
      <x:c r="C25" s="107"/>
      <x:c r="D25" s="107"/>
      <x:c r="E25" s="111"/>
      <x:c r="F25" s="109"/>
      <x:c r="G25" s="107"/>
      <x:c r="H25" s="111"/>
      <x:c r="I25" s="107"/>
      <x:c r="J25" t="str">
        <x:f>IF(COUNTA(A25:I25)=0,"",IF(OR(A25="",B25="",C25="",F25="",G25=""),"Complete entry",IF(F25&lt;=0,"Check amount",IF(G25="Cancelled","Cancelled",IF(G25="Paid",IF(H25="","Enter paid date","Paid"),IF(E25="","Enter due date",IF(E25&lt;'Data &amp; Targets'!$C$10,"Overdue",IF(E25&lt;'Data &amp; Targets'!$C$10+30,"Due next 30 days","Unpaid"))))))))</x:f>
      </x:c>
    </x:row>
    <x:row r="26" ht="22" customHeight="1">
      <x:c r="A26" s="107"/>
      <x:c r="B26" s="107"/>
      <x:c r="C26" s="107"/>
      <x:c r="D26" s="107"/>
      <x:c r="E26" s="111"/>
      <x:c r="F26" s="109"/>
      <x:c r="G26" s="107"/>
      <x:c r="H26" s="111"/>
      <x:c r="I26" s="107"/>
      <x:c r="J26" t="str">
        <x:f>IF(COUNTA(A26:I26)=0,"",IF(OR(A26="",B26="",C26="",F26="",G26=""),"Complete entry",IF(F26&lt;=0,"Check amount",IF(G26="Cancelled","Cancelled",IF(G26="Paid",IF(H26="","Enter paid date","Paid"),IF(E26="","Enter due date",IF(E26&lt;'Data &amp; Targets'!$C$10,"Overdue",IF(E26&lt;'Data &amp; Targets'!$C$10+30,"Due next 30 days","Unpaid"))))))))</x:f>
      </x:c>
    </x:row>
    <x:row r="27" ht="22" customHeight="1">
      <x:c r="A27" s="107"/>
      <x:c r="B27" s="107"/>
      <x:c r="C27" s="107"/>
      <x:c r="D27" s="107"/>
      <x:c r="E27" s="111"/>
      <x:c r="F27" s="109"/>
      <x:c r="G27" s="107"/>
      <x:c r="H27" s="111"/>
      <x:c r="I27" s="107"/>
      <x:c r="J27" t="str">
        <x:f>IF(COUNTA(A27:I27)=0,"",IF(OR(A27="",B27="",C27="",F27="",G27=""),"Complete entry",IF(F27&lt;=0,"Check amount",IF(G27="Cancelled","Cancelled",IF(G27="Paid",IF(H27="","Enter paid date","Paid"),IF(E27="","Enter due date",IF(E27&lt;'Data &amp; Targets'!$C$10,"Overdue",IF(E27&lt;'Data &amp; Targets'!$C$10+30,"Due next 30 days","Unpaid"))))))))</x:f>
      </x:c>
    </x:row>
    <x:row r="28" ht="22" customHeight="1">
      <x:c r="A28" s="107"/>
      <x:c r="B28" s="107"/>
      <x:c r="C28" s="107"/>
      <x:c r="D28" s="107"/>
      <x:c r="E28" s="111"/>
      <x:c r="F28" s="109"/>
      <x:c r="G28" s="107"/>
      <x:c r="H28" s="111"/>
      <x:c r="I28" s="107"/>
      <x:c r="J28" t="str">
        <x:f>IF(COUNTA(A28:I28)=0,"",IF(OR(A28="",B28="",C28="",F28="",G28=""),"Complete entry",IF(F28&lt;=0,"Check amount",IF(G28="Cancelled","Cancelled",IF(G28="Paid",IF(H28="","Enter paid date","Paid"),IF(E28="","Enter due date",IF(E28&lt;'Data &amp; Targets'!$C$10,"Overdue",IF(E28&lt;'Data &amp; Targets'!$C$10+30,"Due next 30 days","Unpaid"))))))))</x:f>
      </x:c>
    </x:row>
    <x:row r="29" ht="22" customHeight="1">
      <x:c r="A29" s="107"/>
      <x:c r="B29" s="107"/>
      <x:c r="C29" s="107"/>
      <x:c r="D29" s="107"/>
      <x:c r="E29" s="111"/>
      <x:c r="F29" s="109"/>
      <x:c r="G29" s="107"/>
      <x:c r="H29" s="111"/>
      <x:c r="I29" s="107"/>
      <x:c r="J29" t="str">
        <x:f>IF(COUNTA(A29:I29)=0,"",IF(OR(A29="",B29="",C29="",F29="",G29=""),"Complete entry",IF(F29&lt;=0,"Check amount",IF(G29="Cancelled","Cancelled",IF(G29="Paid",IF(H29="","Enter paid date","Paid"),IF(E29="","Enter due date",IF(E29&lt;'Data &amp; Targets'!$C$10,"Overdue",IF(E29&lt;'Data &amp; Targets'!$C$10+30,"Due next 30 days","Unpaid"))))))))</x:f>
      </x:c>
    </x:row>
    <x:row r="30" ht="22" customHeight="1">
      <x:c r="A30" s="107"/>
      <x:c r="B30" s="107"/>
      <x:c r="C30" s="107"/>
      <x:c r="D30" s="107"/>
      <x:c r="E30" s="111"/>
      <x:c r="F30" s="109"/>
      <x:c r="G30" s="107"/>
      <x:c r="H30" s="111"/>
      <x:c r="I30" s="107"/>
      <x:c r="J30" t="str">
        <x:f>IF(COUNTA(A30:I30)=0,"",IF(OR(A30="",B30="",C30="",F30="",G30=""),"Complete entry",IF(F30&lt;=0,"Check amount",IF(G30="Cancelled","Cancelled",IF(G30="Paid",IF(H30="","Enter paid date","Paid"),IF(E30="","Enter due date",IF(E30&lt;'Data &amp; Targets'!$C$10,"Overdue",IF(E30&lt;'Data &amp; Targets'!$C$10+30,"Due next 30 days","Unpaid"))))))))</x:f>
      </x:c>
    </x:row>
    <x:row r="31" ht="22" customHeight="1">
      <x:c r="A31" s="107"/>
      <x:c r="B31" s="107"/>
      <x:c r="C31" s="107"/>
      <x:c r="D31" s="107"/>
      <x:c r="E31" s="111"/>
      <x:c r="F31" s="109"/>
      <x:c r="G31" s="107"/>
      <x:c r="H31" s="111"/>
      <x:c r="I31" s="107"/>
      <x:c r="J31" t="str">
        <x:f>IF(COUNTA(A31:I31)=0,"",IF(OR(A31="",B31="",C31="",F31="",G31=""),"Complete entry",IF(F31&lt;=0,"Check amount",IF(G31="Cancelled","Cancelled",IF(G31="Paid",IF(H31="","Enter paid date","Paid"),IF(E31="","Enter due date",IF(E31&lt;'Data &amp; Targets'!$C$10,"Overdue",IF(E31&lt;'Data &amp; Targets'!$C$10+30,"Due next 30 days","Unpaid"))))))))</x:f>
      </x:c>
    </x:row>
    <x:row r="32" ht="22" customHeight="1">
      <x:c r="A32" s="107"/>
      <x:c r="B32" s="107"/>
      <x:c r="C32" s="107"/>
      <x:c r="D32" s="107"/>
      <x:c r="E32" s="111"/>
      <x:c r="F32" s="109"/>
      <x:c r="G32" s="107"/>
      <x:c r="H32" s="111"/>
      <x:c r="I32" s="107"/>
      <x:c r="J32" t="str">
        <x:f>IF(COUNTA(A32:I32)=0,"",IF(OR(A32="",B32="",C32="",F32="",G32=""),"Complete entry",IF(F32&lt;=0,"Check amount",IF(G32="Cancelled","Cancelled",IF(G32="Paid",IF(H32="","Enter paid date","Paid"),IF(E32="","Enter due date",IF(E32&lt;'Data &amp; Targets'!$C$10,"Overdue",IF(E32&lt;'Data &amp; Targets'!$C$10+30,"Due next 30 days","Unpaid"))))))))</x:f>
      </x:c>
    </x:row>
    <x:row r="33" ht="22" customHeight="1">
      <x:c r="A33" s="107"/>
      <x:c r="B33" s="107"/>
      <x:c r="C33" s="107"/>
      <x:c r="D33" s="107"/>
      <x:c r="E33" s="111"/>
      <x:c r="F33" s="109"/>
      <x:c r="G33" s="107"/>
      <x:c r="H33" s="111"/>
      <x:c r="I33" s="107"/>
      <x:c r="J33" t="str">
        <x:f>IF(COUNTA(A33:I33)=0,"",IF(OR(A33="",B33="",C33="",F33="",G33=""),"Complete entry",IF(F33&lt;=0,"Check amount",IF(G33="Cancelled","Cancelled",IF(G33="Paid",IF(H33="","Enter paid date","Paid"),IF(E33="","Enter due date",IF(E33&lt;'Data &amp; Targets'!$C$10,"Overdue",IF(E33&lt;'Data &amp; Targets'!$C$10+30,"Due next 30 days","Unpaid"))))))))</x:f>
      </x:c>
    </x:row>
    <x:row r="34" ht="22" customHeight="1">
      <x:c r="A34" s="107"/>
      <x:c r="B34" s="107"/>
      <x:c r="C34" s="107"/>
      <x:c r="D34" s="107"/>
      <x:c r="E34" s="111"/>
      <x:c r="F34" s="109"/>
      <x:c r="G34" s="107"/>
      <x:c r="H34" s="111"/>
      <x:c r="I34" s="107"/>
      <x:c r="J34" t="str">
        <x:f>IF(COUNTA(A34:I34)=0,"",IF(OR(A34="",B34="",C34="",F34="",G34=""),"Complete entry",IF(F34&lt;=0,"Check amount",IF(G34="Cancelled","Cancelled",IF(G34="Paid",IF(H34="","Enter paid date","Paid"),IF(E34="","Enter due date",IF(E34&lt;'Data &amp; Targets'!$C$10,"Overdue",IF(E34&lt;'Data &amp; Targets'!$C$10+30,"Due next 30 days","Unpaid"))))))))</x:f>
      </x:c>
    </x:row>
    <x:row r="35" ht="22" customHeight="1">
      <x:c r="A35" s="107"/>
      <x:c r="B35" s="107"/>
      <x:c r="C35" s="107"/>
      <x:c r="D35" s="107"/>
      <x:c r="E35" s="111"/>
      <x:c r="F35" s="109"/>
      <x:c r="G35" s="107"/>
      <x:c r="H35" s="111"/>
      <x:c r="I35" s="107"/>
      <x:c r="J35" t="str">
        <x:f>IF(COUNTA(A35:I35)=0,"",IF(OR(A35="",B35="",C35="",F35="",G35=""),"Complete entry",IF(F35&lt;=0,"Check amount",IF(G35="Cancelled","Cancelled",IF(G35="Paid",IF(H35="","Enter paid date","Paid"),IF(E35="","Enter due date",IF(E35&lt;'Data &amp; Targets'!$C$10,"Overdue",IF(E35&lt;'Data &amp; Targets'!$C$10+30,"Due next 30 days","Unpaid"))))))))</x:f>
      </x:c>
    </x:row>
    <x:row r="36" ht="22" customHeight="1">
      <x:c r="A36" s="107"/>
      <x:c r="B36" s="107"/>
      <x:c r="C36" s="107"/>
      <x:c r="D36" s="107"/>
      <x:c r="E36" s="111"/>
      <x:c r="F36" s="109"/>
      <x:c r="G36" s="107"/>
      <x:c r="H36" s="111"/>
      <x:c r="I36" s="107"/>
      <x:c r="J36" t="str">
        <x:f>IF(COUNTA(A36:I36)=0,"",IF(OR(A36="",B36="",C36="",F36="",G36=""),"Complete entry",IF(F36&lt;=0,"Check amount",IF(G36="Cancelled","Cancelled",IF(G36="Paid",IF(H36="","Enter paid date","Paid"),IF(E36="","Enter due date",IF(E36&lt;'Data &amp; Targets'!$C$10,"Overdue",IF(E36&lt;'Data &amp; Targets'!$C$10+30,"Due next 30 days","Unpaid"))))))))</x:f>
      </x:c>
    </x:row>
    <x:row r="37" ht="22" customHeight="1">
      <x:c r="A37" s="107"/>
      <x:c r="B37" s="107"/>
      <x:c r="C37" s="107"/>
      <x:c r="D37" s="107"/>
      <x:c r="E37" s="111"/>
      <x:c r="F37" s="109"/>
      <x:c r="G37" s="107"/>
      <x:c r="H37" s="111"/>
      <x:c r="I37" s="107"/>
      <x:c r="J37" t="str">
        <x:f>IF(COUNTA(A37:I37)=0,"",IF(OR(A37="",B37="",C37="",F37="",G37=""),"Complete entry",IF(F37&lt;=0,"Check amount",IF(G37="Cancelled","Cancelled",IF(G37="Paid",IF(H37="","Enter paid date","Paid"),IF(E37="","Enter due date",IF(E37&lt;'Data &amp; Targets'!$C$10,"Overdue",IF(E37&lt;'Data &amp; Targets'!$C$10+30,"Due next 30 days","Unpaid"))))))))</x:f>
      </x:c>
    </x:row>
    <x:row r="38" ht="22" customHeight="1">
      <x:c r="A38" s="107"/>
      <x:c r="B38" s="107"/>
      <x:c r="C38" s="107"/>
      <x:c r="D38" s="107"/>
      <x:c r="E38" s="111"/>
      <x:c r="F38" s="109"/>
      <x:c r="G38" s="107"/>
      <x:c r="H38" s="111"/>
      <x:c r="I38" s="107"/>
      <x:c r="J38" t="str">
        <x:f>IF(COUNTA(A38:I38)=0,"",IF(OR(A38="",B38="",C38="",F38="",G38=""),"Complete entry",IF(F38&lt;=0,"Check amount",IF(G38="Cancelled","Cancelled",IF(G38="Paid",IF(H38="","Enter paid date","Paid"),IF(E38="","Enter due date",IF(E38&lt;'Data &amp; Targets'!$C$10,"Overdue",IF(E38&lt;'Data &amp; Targets'!$C$10+30,"Due next 30 days","Unpaid"))))))))</x:f>
      </x:c>
    </x:row>
    <x:row r="39" ht="22" customHeight="1">
      <x:c r="A39" s="107"/>
      <x:c r="B39" s="107"/>
      <x:c r="C39" s="107"/>
      <x:c r="D39" s="107"/>
      <x:c r="E39" s="111"/>
      <x:c r="F39" s="109"/>
      <x:c r="G39" s="107"/>
      <x:c r="H39" s="111"/>
      <x:c r="I39" s="107"/>
      <x:c r="J39" t="str">
        <x:f>IF(COUNTA(A39:I39)=0,"",IF(OR(A39="",B39="",C39="",F39="",G39=""),"Complete entry",IF(F39&lt;=0,"Check amount",IF(G39="Cancelled","Cancelled",IF(G39="Paid",IF(H39="","Enter paid date","Paid"),IF(E39="","Enter due date",IF(E39&lt;'Data &amp; Targets'!$C$10,"Overdue",IF(E39&lt;'Data &amp; Targets'!$C$10+30,"Due next 30 days","Unpaid"))))))))</x:f>
      </x:c>
    </x:row>
    <x:row r="40" ht="22" customHeight="1">
      <x:c r="A40" s="107"/>
      <x:c r="B40" s="107"/>
      <x:c r="C40" s="107"/>
      <x:c r="D40" s="107"/>
      <x:c r="E40" s="111"/>
      <x:c r="F40" s="109"/>
      <x:c r="G40" s="107"/>
      <x:c r="H40" s="111"/>
      <x:c r="I40" s="107"/>
      <x:c r="J40" t="str">
        <x:f>IF(COUNTA(A40:I40)=0,"",IF(OR(A40="",B40="",C40="",F40="",G40=""),"Complete entry",IF(F40&lt;=0,"Check amount",IF(G40="Cancelled","Cancelled",IF(G40="Paid",IF(H40="","Enter paid date","Paid"),IF(E40="","Enter due date",IF(E40&lt;'Data &amp; Targets'!$C$10,"Overdue",IF(E40&lt;'Data &amp; Targets'!$C$10+30,"Due next 30 days","Unpaid"))))))))</x:f>
      </x:c>
    </x:row>
    <x:row r="41" ht="22" customHeight="1">
      <x:c r="A41" s="107"/>
      <x:c r="B41" s="107"/>
      <x:c r="C41" s="107"/>
      <x:c r="D41" s="107"/>
      <x:c r="E41" s="111"/>
      <x:c r="F41" s="109"/>
      <x:c r="G41" s="107"/>
      <x:c r="H41" s="111"/>
      <x:c r="I41" s="107"/>
      <x:c r="J41" t="str">
        <x:f>IF(COUNTA(A41:I41)=0,"",IF(OR(A41="",B41="",C41="",F41="",G41=""),"Complete entry",IF(F41&lt;=0,"Check amount",IF(G41="Cancelled","Cancelled",IF(G41="Paid",IF(H41="","Enter paid date","Paid"),IF(E41="","Enter due date",IF(E41&lt;'Data &amp; Targets'!$C$10,"Overdue",IF(E41&lt;'Data &amp; Targets'!$C$10+30,"Due next 30 days","Unpaid"))))))))</x:f>
      </x:c>
    </x:row>
    <x:row r="42" ht="22" customHeight="1">
      <x:c r="A42" s="107"/>
      <x:c r="B42" s="107"/>
      <x:c r="C42" s="107"/>
      <x:c r="D42" s="107"/>
      <x:c r="E42" s="111"/>
      <x:c r="F42" s="109"/>
      <x:c r="G42" s="107"/>
      <x:c r="H42" s="111"/>
      <x:c r="I42" s="107"/>
      <x:c r="J42" t="str">
        <x:f>IF(COUNTA(A42:I42)=0,"",IF(OR(A42="",B42="",C42="",F42="",G42=""),"Complete entry",IF(F42&lt;=0,"Check amount",IF(G42="Cancelled","Cancelled",IF(G42="Paid",IF(H42="","Enter paid date","Paid"),IF(E42="","Enter due date",IF(E42&lt;'Data &amp; Targets'!$C$10,"Overdue",IF(E42&lt;'Data &amp; Targets'!$C$10+30,"Due next 30 days","Unpaid"))))))))</x:f>
      </x:c>
    </x:row>
    <x:row r="43" ht="22" customHeight="1">
      <x:c r="A43" s="107"/>
      <x:c r="B43" s="107"/>
      <x:c r="C43" s="107"/>
      <x:c r="D43" s="107"/>
      <x:c r="E43" s="111"/>
      <x:c r="F43" s="109"/>
      <x:c r="G43" s="107"/>
      <x:c r="H43" s="111"/>
      <x:c r="I43" s="107"/>
      <x:c r="J43" t="str">
        <x:f>IF(COUNTA(A43:I43)=0,"",IF(OR(A43="",B43="",C43="",F43="",G43=""),"Complete entry",IF(F43&lt;=0,"Check amount",IF(G43="Cancelled","Cancelled",IF(G43="Paid",IF(H43="","Enter paid date","Paid"),IF(E43="","Enter due date",IF(E43&lt;'Data &amp; Targets'!$C$10,"Overdue",IF(E43&lt;'Data &amp; Targets'!$C$10+30,"Due next 30 days","Unpaid"))))))))</x:f>
      </x:c>
    </x:row>
    <x:row r="44" ht="22" customHeight="1">
      <x:c r="A44" s="107"/>
      <x:c r="B44" s="107"/>
      <x:c r="C44" s="107"/>
      <x:c r="D44" s="107"/>
      <x:c r="E44" s="111"/>
      <x:c r="F44" s="109"/>
      <x:c r="G44" s="107"/>
      <x:c r="H44" s="111"/>
      <x:c r="I44" s="107"/>
      <x:c r="J44" t="str">
        <x:f>IF(COUNTA(A44:I44)=0,"",IF(OR(A44="",B44="",C44="",F44="",G44=""),"Complete entry",IF(F44&lt;=0,"Check amount",IF(G44="Cancelled","Cancelled",IF(G44="Paid",IF(H44="","Enter paid date","Paid"),IF(E44="","Enter due date",IF(E44&lt;'Data &amp; Targets'!$C$10,"Overdue",IF(E44&lt;'Data &amp; Targets'!$C$10+30,"Due next 30 days","Unpaid"))))))))</x:f>
      </x:c>
    </x:row>
    <x:row r="45" ht="22" customHeight="1">
      <x:c r="A45" s="107"/>
      <x:c r="B45" s="107"/>
      <x:c r="C45" s="107"/>
      <x:c r="D45" s="107"/>
      <x:c r="E45" s="111"/>
      <x:c r="F45" s="109"/>
      <x:c r="G45" s="107"/>
      <x:c r="H45" s="111"/>
      <x:c r="I45" s="107"/>
      <x:c r="J45" t="str">
        <x:f>IF(COUNTA(A45:I45)=0,"",IF(OR(A45="",B45="",C45="",F45="",G45=""),"Complete entry",IF(F45&lt;=0,"Check amount",IF(G45="Cancelled","Cancelled",IF(G45="Paid",IF(H45="","Enter paid date","Paid"),IF(E45="","Enter due date",IF(E45&lt;'Data &amp; Targets'!$C$10,"Overdue",IF(E45&lt;'Data &amp; Targets'!$C$10+30,"Due next 30 days","Unpaid"))))))))</x:f>
      </x:c>
    </x:row>
    <x:row r="46" ht="22" customHeight="1">
      <x:c r="A46" s="107"/>
      <x:c r="B46" s="107"/>
      <x:c r="C46" s="107"/>
      <x:c r="D46" s="107"/>
      <x:c r="E46" s="111"/>
      <x:c r="F46" s="109"/>
      <x:c r="G46" s="107"/>
      <x:c r="H46" s="111"/>
      <x:c r="I46" s="107"/>
      <x:c r="J46" t="str">
        <x:f>IF(COUNTA(A46:I46)=0,"",IF(OR(A46="",B46="",C46="",F46="",G46=""),"Complete entry",IF(F46&lt;=0,"Check amount",IF(G46="Cancelled","Cancelled",IF(G46="Paid",IF(H46="","Enter paid date","Paid"),IF(E46="","Enter due date",IF(E46&lt;'Data &amp; Targets'!$C$10,"Overdue",IF(E46&lt;'Data &amp; Targets'!$C$10+30,"Due next 30 days","Unpaid"))))))))</x:f>
      </x:c>
    </x:row>
    <x:row r="47" ht="22" customHeight="1">
      <x:c r="A47" s="107"/>
      <x:c r="B47" s="107"/>
      <x:c r="C47" s="107"/>
      <x:c r="D47" s="107"/>
      <x:c r="E47" s="111"/>
      <x:c r="F47" s="109"/>
      <x:c r="G47" s="107"/>
      <x:c r="H47" s="111"/>
      <x:c r="I47" s="107"/>
      <x:c r="J47" t="str">
        <x:f>IF(COUNTA(A47:I47)=0,"",IF(OR(A47="",B47="",C47="",F47="",G47=""),"Complete entry",IF(F47&lt;=0,"Check amount",IF(G47="Cancelled","Cancelled",IF(G47="Paid",IF(H47="","Enter paid date","Paid"),IF(E47="","Enter due date",IF(E47&lt;'Data &amp; Targets'!$C$10,"Overdue",IF(E47&lt;'Data &amp; Targets'!$C$10+30,"Due next 30 days","Unpaid"))))))))</x:f>
      </x:c>
    </x:row>
    <x:row r="48" ht="22" customHeight="1">
      <x:c r="A48" s="107"/>
      <x:c r="B48" s="107"/>
      <x:c r="C48" s="107"/>
      <x:c r="D48" s="107"/>
      <x:c r="E48" s="111"/>
      <x:c r="F48" s="109"/>
      <x:c r="G48" s="107"/>
      <x:c r="H48" s="111"/>
      <x:c r="I48" s="107"/>
      <x:c r="J48" t="str">
        <x:f>IF(COUNTA(A48:I48)=0,"",IF(OR(A48="",B48="",C48="",F48="",G48=""),"Complete entry",IF(F48&lt;=0,"Check amount",IF(G48="Cancelled","Cancelled",IF(G48="Paid",IF(H48="","Enter paid date","Paid"),IF(E48="","Enter due date",IF(E48&lt;'Data &amp; Targets'!$C$10,"Overdue",IF(E48&lt;'Data &amp; Targets'!$C$10+30,"Due next 30 days","Unpaid"))))))))</x:f>
      </x:c>
    </x:row>
    <x:row r="49" ht="22" customHeight="1">
      <x:c r="A49" s="107"/>
      <x:c r="B49" s="107"/>
      <x:c r="C49" s="107"/>
      <x:c r="D49" s="107"/>
      <x:c r="E49" s="111"/>
      <x:c r="F49" s="109"/>
      <x:c r="G49" s="107"/>
      <x:c r="H49" s="111"/>
      <x:c r="I49" s="107"/>
      <x:c r="J49" t="str">
        <x:f>IF(COUNTA(A49:I49)=0,"",IF(OR(A49="",B49="",C49="",F49="",G49=""),"Complete entry",IF(F49&lt;=0,"Check amount",IF(G49="Cancelled","Cancelled",IF(G49="Paid",IF(H49="","Enter paid date","Paid"),IF(E49="","Enter due date",IF(E49&lt;'Data &amp; Targets'!$C$10,"Overdue",IF(E49&lt;'Data &amp; Targets'!$C$10+30,"Due next 30 days","Unpaid"))))))))</x:f>
      </x:c>
    </x:row>
    <x:row r="50" ht="22" customHeight="1">
      <x:c r="A50" s="107"/>
      <x:c r="B50" s="107"/>
      <x:c r="C50" s="107"/>
      <x:c r="D50" s="107"/>
      <x:c r="E50" s="111"/>
      <x:c r="F50" s="109"/>
      <x:c r="G50" s="107"/>
      <x:c r="H50" s="111"/>
      <x:c r="I50" s="107"/>
      <x:c r="J50" t="str">
        <x:f>IF(COUNTA(A50:I50)=0,"",IF(OR(A50="",B50="",C50="",F50="",G50=""),"Complete entry",IF(F50&lt;=0,"Check amount",IF(G50="Cancelled","Cancelled",IF(G50="Paid",IF(H50="","Enter paid date","Paid"),IF(E50="","Enter due date",IF(E50&lt;'Data &amp; Targets'!$C$10,"Overdue",IF(E50&lt;'Data &amp; Targets'!$C$10+30,"Due next 30 days","Unpaid"))))))))</x:f>
      </x:c>
    </x:row>
    <x:row r="51" ht="22" customHeight="1">
      <x:c r="A51" s="107"/>
      <x:c r="B51" s="107"/>
      <x:c r="C51" s="107"/>
      <x:c r="D51" s="107"/>
      <x:c r="E51" s="111"/>
      <x:c r="F51" s="109"/>
      <x:c r="G51" s="107"/>
      <x:c r="H51" s="111"/>
      <x:c r="I51" s="107"/>
      <x:c r="J51" t="str">
        <x:f>IF(COUNTA(A51:I51)=0,"",IF(OR(A51="",B51="",C51="",F51="",G51=""),"Complete entry",IF(F51&lt;=0,"Check amount",IF(G51="Cancelled","Cancelled",IF(G51="Paid",IF(H51="","Enter paid date","Paid"),IF(E51="","Enter due date",IF(E51&lt;'Data &amp; Targets'!$C$10,"Overdue",IF(E51&lt;'Data &amp; Targets'!$C$10+30,"Due next 30 days","Unpaid"))))))))</x:f>
      </x:c>
    </x:row>
    <x:row r="52" ht="22" customHeight="1">
      <x:c r="A52" s="107"/>
      <x:c r="B52" s="107"/>
      <x:c r="C52" s="107"/>
      <x:c r="D52" s="107"/>
      <x:c r="E52" s="111"/>
      <x:c r="F52" s="109"/>
      <x:c r="G52" s="107"/>
      <x:c r="H52" s="111"/>
      <x:c r="I52" s="107"/>
      <x:c r="J52" t="str">
        <x:f>IF(COUNTA(A52:I52)=0,"",IF(OR(A52="",B52="",C52="",F52="",G52=""),"Complete entry",IF(F52&lt;=0,"Check amount",IF(G52="Cancelled","Cancelled",IF(G52="Paid",IF(H52="","Enter paid date","Paid"),IF(E52="","Enter due date",IF(E52&lt;'Data &amp; Targets'!$C$10,"Overdue",IF(E52&lt;'Data &amp; Targets'!$C$10+30,"Due next 30 days","Unpaid"))))))))</x:f>
      </x:c>
    </x:row>
    <x:row r="53" ht="22" customHeight="1">
      <x:c r="A53" s="107"/>
      <x:c r="B53" s="107"/>
      <x:c r="C53" s="107"/>
      <x:c r="D53" s="107"/>
      <x:c r="E53" s="111"/>
      <x:c r="F53" s="109"/>
      <x:c r="G53" s="107"/>
      <x:c r="H53" s="111"/>
      <x:c r="I53" s="107"/>
      <x:c r="J53" t="str">
        <x:f>IF(COUNTA(A53:I53)=0,"",IF(OR(A53="",B53="",C53="",F53="",G53=""),"Complete entry",IF(F53&lt;=0,"Check amount",IF(G53="Cancelled","Cancelled",IF(G53="Paid",IF(H53="","Enter paid date","Paid"),IF(E53="","Enter due date",IF(E53&lt;'Data &amp; Targets'!$C$10,"Overdue",IF(E53&lt;'Data &amp; Targets'!$C$10+30,"Due next 30 days","Unpaid"))))))))</x:f>
      </x:c>
    </x:row>
    <x:row r="54" ht="22" customHeight="1">
      <x:c r="A54" s="107"/>
      <x:c r="B54" s="107"/>
      <x:c r="C54" s="107"/>
      <x:c r="D54" s="107"/>
      <x:c r="E54" s="111"/>
      <x:c r="F54" s="109"/>
      <x:c r="G54" s="107"/>
      <x:c r="H54" s="111"/>
      <x:c r="I54" s="107"/>
      <x:c r="J54" t="str">
        <x:f>IF(COUNTA(A54:I54)=0,"",IF(OR(A54="",B54="",C54="",F54="",G54=""),"Complete entry",IF(F54&lt;=0,"Check amount",IF(G54="Cancelled","Cancelled",IF(G54="Paid",IF(H54="","Enter paid date","Paid"),IF(E54="","Enter due date",IF(E54&lt;'Data &amp; Targets'!$C$10,"Overdue",IF(E54&lt;'Data &amp; Targets'!$C$10+30,"Due next 30 days","Unpaid"))))))))</x:f>
      </x:c>
    </x:row>
    <x:row r="55" ht="22" customHeight="1">
      <x:c r="A55" s="107"/>
      <x:c r="B55" s="107"/>
      <x:c r="C55" s="107"/>
      <x:c r="D55" s="107"/>
      <x:c r="E55" s="111"/>
      <x:c r="F55" s="109"/>
      <x:c r="G55" s="107"/>
      <x:c r="H55" s="111"/>
      <x:c r="I55" s="107"/>
      <x:c r="J55" t="str">
        <x:f>IF(COUNTA(A55:I55)=0,"",IF(OR(A55="",B55="",C55="",F55="",G55=""),"Complete entry",IF(F55&lt;=0,"Check amount",IF(G55="Cancelled","Cancelled",IF(G55="Paid",IF(H55="","Enter paid date","Paid"),IF(E55="","Enter due date",IF(E55&lt;'Data &amp; Targets'!$C$10,"Overdue",IF(E55&lt;'Data &amp; Targets'!$C$10+30,"Due next 30 days","Unpaid"))))))))</x:f>
      </x:c>
    </x:row>
    <x:row r="56" ht="22" customHeight="1">
      <x:c r="A56" s="107"/>
      <x:c r="B56" s="107"/>
      <x:c r="C56" s="107"/>
      <x:c r="D56" s="107"/>
      <x:c r="E56" s="111"/>
      <x:c r="F56" s="109"/>
      <x:c r="G56" s="107"/>
      <x:c r="H56" s="111"/>
      <x:c r="I56" s="107"/>
      <x:c r="J56" t="str">
        <x:f>IF(COUNTA(A56:I56)=0,"",IF(OR(A56="",B56="",C56="",F56="",G56=""),"Complete entry",IF(F56&lt;=0,"Check amount",IF(G56="Cancelled","Cancelled",IF(G56="Paid",IF(H56="","Enter paid date","Paid"),IF(E56="","Enter due date",IF(E56&lt;'Data &amp; Targets'!$C$10,"Overdue",IF(E56&lt;'Data &amp; Targets'!$C$10+30,"Due next 30 days","Unpaid"))))))))</x:f>
      </x:c>
    </x:row>
    <x:row r="57" ht="22" customHeight="1">
      <x:c r="A57" s="107"/>
      <x:c r="B57" s="107"/>
      <x:c r="C57" s="107"/>
      <x:c r="D57" s="107"/>
      <x:c r="E57" s="111"/>
      <x:c r="F57" s="109"/>
      <x:c r="G57" s="107"/>
      <x:c r="H57" s="111"/>
      <x:c r="I57" s="107"/>
      <x:c r="J57" t="str">
        <x:f>IF(COUNTA(A57:I57)=0,"",IF(OR(A57="",B57="",C57="",F57="",G57=""),"Complete entry",IF(F57&lt;=0,"Check amount",IF(G57="Cancelled","Cancelled",IF(G57="Paid",IF(H57="","Enter paid date","Paid"),IF(E57="","Enter due date",IF(E57&lt;'Data &amp; Targets'!$C$10,"Overdue",IF(E57&lt;'Data &amp; Targets'!$C$10+30,"Due next 30 days","Unpaid"))))))))</x:f>
      </x:c>
    </x:row>
    <x:row r="58" ht="22" customHeight="1">
      <x:c r="A58" s="107"/>
      <x:c r="B58" s="107"/>
      <x:c r="C58" s="107"/>
      <x:c r="D58" s="107"/>
      <x:c r="E58" s="111"/>
      <x:c r="F58" s="109"/>
      <x:c r="G58" s="107"/>
      <x:c r="H58" s="111"/>
      <x:c r="I58" s="107"/>
      <x:c r="J58" t="str">
        <x:f>IF(COUNTA(A58:I58)=0,"",IF(OR(A58="",B58="",C58="",F58="",G58=""),"Complete entry",IF(F58&lt;=0,"Check amount",IF(G58="Cancelled","Cancelled",IF(G58="Paid",IF(H58="","Enter paid date","Paid"),IF(E58="","Enter due date",IF(E58&lt;'Data &amp; Targets'!$C$10,"Overdue",IF(E58&lt;'Data &amp; Targets'!$C$10+30,"Due next 30 days","Unpaid"))))))))</x:f>
      </x:c>
    </x:row>
    <x:row r="59" ht="22" customHeight="1">
      <x:c r="A59" s="107"/>
      <x:c r="B59" s="107"/>
      <x:c r="C59" s="107"/>
      <x:c r="D59" s="107"/>
      <x:c r="E59" s="111"/>
      <x:c r="F59" s="109"/>
      <x:c r="G59" s="107"/>
      <x:c r="H59" s="111"/>
      <x:c r="I59" s="107"/>
      <x:c r="J59" t="str">
        <x:f>IF(COUNTA(A59:I59)=0,"",IF(OR(A59="",B59="",C59="",F59="",G59=""),"Complete entry",IF(F59&lt;=0,"Check amount",IF(G59="Cancelled","Cancelled",IF(G59="Paid",IF(H59="","Enter paid date","Paid"),IF(E59="","Enter due date",IF(E59&lt;'Data &amp; Targets'!$C$10,"Overdue",IF(E59&lt;'Data &amp; Targets'!$C$10+30,"Due next 30 days","Unpaid"))))))))</x:f>
      </x:c>
    </x:row>
    <x:row r="60" ht="22" customHeight="1">
      <x:c r="A60" s="107"/>
      <x:c r="B60" s="107"/>
      <x:c r="C60" s="107"/>
      <x:c r="D60" s="107"/>
      <x:c r="E60" s="111"/>
      <x:c r="F60" s="109"/>
      <x:c r="G60" s="107"/>
      <x:c r="H60" s="111"/>
      <x:c r="I60" s="107"/>
      <x:c r="J60" t="str">
        <x:f>IF(COUNTA(A60:I60)=0,"",IF(OR(A60="",B60="",C60="",F60="",G60=""),"Complete entry",IF(F60&lt;=0,"Check amount",IF(G60="Cancelled","Cancelled",IF(G60="Paid",IF(H60="","Enter paid date","Paid"),IF(E60="","Enter due date",IF(E60&lt;'Data &amp; Targets'!$C$10,"Overdue",IF(E60&lt;'Data &amp; Targets'!$C$10+30,"Due next 30 days","Unpaid"))))))))</x:f>
      </x:c>
    </x:row>
    <x:row r="61" ht="22" customHeight="1">
      <x:c r="A61" s="107"/>
      <x:c r="B61" s="107"/>
      <x:c r="C61" s="107"/>
      <x:c r="D61" s="107"/>
      <x:c r="E61" s="111"/>
      <x:c r="F61" s="109"/>
      <x:c r="G61" s="107"/>
      <x:c r="H61" s="111"/>
      <x:c r="I61" s="107"/>
      <x:c r="J61" t="str">
        <x:f>IF(COUNTA(A61:I61)=0,"",IF(OR(A61="",B61="",C61="",F61="",G61=""),"Complete entry",IF(F61&lt;=0,"Check amount",IF(G61="Cancelled","Cancelled",IF(G61="Paid",IF(H61="","Enter paid date","Paid"),IF(E61="","Enter due date",IF(E61&lt;'Data &amp; Targets'!$C$10,"Overdue",IF(E61&lt;'Data &amp; Targets'!$C$10+30,"Due next 30 days","Unpaid"))))))))</x:f>
      </x:c>
    </x:row>
    <x:row r="62" ht="22" customHeight="1">
      <x:c r="A62" s="107"/>
      <x:c r="B62" s="107"/>
      <x:c r="C62" s="107"/>
      <x:c r="D62" s="107"/>
      <x:c r="E62" s="111"/>
      <x:c r="F62" s="109"/>
      <x:c r="G62" s="107"/>
      <x:c r="H62" s="111"/>
      <x:c r="I62" s="107"/>
      <x:c r="J62" t="str">
        <x:f>IF(COUNTA(A62:I62)=0,"",IF(OR(A62="",B62="",C62="",F62="",G62=""),"Complete entry",IF(F62&lt;=0,"Check amount",IF(G62="Cancelled","Cancelled",IF(G62="Paid",IF(H62="","Enter paid date","Paid"),IF(E62="","Enter due date",IF(E62&lt;'Data &amp; Targets'!$C$10,"Overdue",IF(E62&lt;'Data &amp; Targets'!$C$10+30,"Due next 30 days","Unpaid"))))))))</x:f>
      </x:c>
    </x:row>
    <x:row r="63" ht="22" customHeight="1">
      <x:c r="A63" s="107"/>
      <x:c r="B63" s="107"/>
      <x:c r="C63" s="107"/>
      <x:c r="D63" s="107"/>
      <x:c r="E63" s="111"/>
      <x:c r="F63" s="109"/>
      <x:c r="G63" s="107"/>
      <x:c r="H63" s="111"/>
      <x:c r="I63" s="107"/>
      <x:c r="J63" t="str">
        <x:f>IF(COUNTA(A63:I63)=0,"",IF(OR(A63="",B63="",C63="",F63="",G63=""),"Complete entry",IF(F63&lt;=0,"Check amount",IF(G63="Cancelled","Cancelled",IF(G63="Paid",IF(H63="","Enter paid date","Paid"),IF(E63="","Enter due date",IF(E63&lt;'Data &amp; Targets'!$C$10,"Overdue",IF(E63&lt;'Data &amp; Targets'!$C$10+30,"Due next 30 days","Unpaid"))))))))</x:f>
      </x:c>
    </x:row>
    <x:row r="64" ht="22" customHeight="1">
      <x:c r="A64" s="107"/>
      <x:c r="B64" s="107"/>
      <x:c r="C64" s="107"/>
      <x:c r="D64" s="107"/>
      <x:c r="E64" s="111"/>
      <x:c r="F64" s="109"/>
      <x:c r="G64" s="107"/>
      <x:c r="H64" s="111"/>
      <x:c r="I64" s="107"/>
      <x:c r="J64" t="str">
        <x:f>IF(COUNTA(A64:I64)=0,"",IF(OR(A64="",B64="",C64="",F64="",G64=""),"Complete entry",IF(F64&lt;=0,"Check amount",IF(G64="Cancelled","Cancelled",IF(G64="Paid",IF(H64="","Enter paid date","Paid"),IF(E64="","Enter due date",IF(E64&lt;'Data &amp; Targets'!$C$10,"Overdue",IF(E64&lt;'Data &amp; Targets'!$C$10+30,"Due next 30 days","Unpaid"))))))))</x:f>
      </x:c>
    </x:row>
    <x:row r="65" ht="22" customHeight="1">
      <x:c r="A65" s="107"/>
      <x:c r="B65" s="107"/>
      <x:c r="C65" s="107"/>
      <x:c r="D65" s="107"/>
      <x:c r="E65" s="111"/>
      <x:c r="F65" s="109"/>
      <x:c r="G65" s="107"/>
      <x:c r="H65" s="111"/>
      <x:c r="I65" s="107"/>
      <x:c r="J65" t="str">
        <x:f>IF(COUNTA(A65:I65)=0,"",IF(OR(A65="",B65="",C65="",F65="",G65=""),"Complete entry",IF(F65&lt;=0,"Check amount",IF(G65="Cancelled","Cancelled",IF(G65="Paid",IF(H65="","Enter paid date","Paid"),IF(E65="","Enter due date",IF(E65&lt;'Data &amp; Targets'!$C$10,"Overdue",IF(E65&lt;'Data &amp; Targets'!$C$10+30,"Due next 30 days","Unpaid"))))))))</x:f>
      </x:c>
    </x:row>
    <x:row r="66" ht="22" customHeight="1">
      <x:c r="A66" s="107"/>
      <x:c r="B66" s="107"/>
      <x:c r="C66" s="107"/>
      <x:c r="D66" s="107"/>
      <x:c r="E66" s="111"/>
      <x:c r="F66" s="109"/>
      <x:c r="G66" s="107"/>
      <x:c r="H66" s="111"/>
      <x:c r="I66" s="107"/>
      <x:c r="J66" t="str">
        <x:f>IF(COUNTA(A66:I66)=0,"",IF(OR(A66="",B66="",C66="",F66="",G66=""),"Complete entry",IF(F66&lt;=0,"Check amount",IF(G66="Cancelled","Cancelled",IF(G66="Paid",IF(H66="","Enter paid date","Paid"),IF(E66="","Enter due date",IF(E66&lt;'Data &amp; Targets'!$C$10,"Overdue",IF(E66&lt;'Data &amp; Targets'!$C$10+30,"Due next 30 days","Unpaid"))))))))</x:f>
      </x:c>
    </x:row>
    <x:row r="67" ht="22" customHeight="1">
      <x:c r="A67" s="107"/>
      <x:c r="B67" s="107"/>
      <x:c r="C67" s="107"/>
      <x:c r="D67" s="107"/>
      <x:c r="E67" s="111"/>
      <x:c r="F67" s="109"/>
      <x:c r="G67" s="107"/>
      <x:c r="H67" s="111"/>
      <x:c r="I67" s="107"/>
      <x:c r="J67" t="str">
        <x:f>IF(COUNTA(A67:I67)=0,"",IF(OR(A67="",B67="",C67="",F67="",G67=""),"Complete entry",IF(F67&lt;=0,"Check amount",IF(G67="Cancelled","Cancelled",IF(G67="Paid",IF(H67="","Enter paid date","Paid"),IF(E67="","Enter due date",IF(E67&lt;'Data &amp; Targets'!$C$10,"Overdue",IF(E67&lt;'Data &amp; Targets'!$C$10+30,"Due next 30 days","Unpaid"))))))))</x:f>
      </x:c>
    </x:row>
    <x:row r="68" ht="22" customHeight="1">
      <x:c r="A68" s="107"/>
      <x:c r="B68" s="107"/>
      <x:c r="C68" s="107"/>
      <x:c r="D68" s="107"/>
      <x:c r="E68" s="111"/>
      <x:c r="F68" s="109"/>
      <x:c r="G68" s="107"/>
      <x:c r="H68" s="111"/>
      <x:c r="I68" s="107"/>
      <x:c r="J68" t="str">
        <x:f>IF(COUNTA(A68:I68)=0,"",IF(OR(A68="",B68="",C68="",F68="",G68=""),"Complete entry",IF(F68&lt;=0,"Check amount",IF(G68="Cancelled","Cancelled",IF(G68="Paid",IF(H68="","Enter paid date","Paid"),IF(E68="","Enter due date",IF(E68&lt;'Data &amp; Targets'!$C$10,"Overdue",IF(E68&lt;'Data &amp; Targets'!$C$10+30,"Due next 30 days","Unpaid"))))))))</x:f>
      </x:c>
    </x:row>
    <x:row r="69" ht="22" customHeight="1">
      <x:c r="A69" s="107"/>
      <x:c r="B69" s="107"/>
      <x:c r="C69" s="107"/>
      <x:c r="D69" s="107"/>
      <x:c r="E69" s="111"/>
      <x:c r="F69" s="109"/>
      <x:c r="G69" s="107"/>
      <x:c r="H69" s="111"/>
      <x:c r="I69" s="107"/>
      <x:c r="J69" t="str">
        <x:f>IF(COUNTA(A69:I69)=0,"",IF(OR(A69="",B69="",C69="",F69="",G69=""),"Complete entry",IF(F69&lt;=0,"Check amount",IF(G69="Cancelled","Cancelled",IF(G69="Paid",IF(H69="","Enter paid date","Paid"),IF(E69="","Enter due date",IF(E69&lt;'Data &amp; Targets'!$C$10,"Overdue",IF(E69&lt;'Data &amp; Targets'!$C$10+30,"Due next 30 days","Unpaid"))))))))</x:f>
      </x:c>
    </x:row>
    <x:row r="70" ht="22" customHeight="1">
      <x:c r="A70" s="107"/>
      <x:c r="B70" s="107"/>
      <x:c r="C70" s="107"/>
      <x:c r="D70" s="107"/>
      <x:c r="E70" s="111"/>
      <x:c r="F70" s="109"/>
      <x:c r="G70" s="107"/>
      <x:c r="H70" s="111"/>
      <x:c r="I70" s="107"/>
      <x:c r="J70" t="str">
        <x:f>IF(COUNTA(A70:I70)=0,"",IF(OR(A70="",B70="",C70="",F70="",G70=""),"Complete entry",IF(F70&lt;=0,"Check amount",IF(G70="Cancelled","Cancelled",IF(G70="Paid",IF(H70="","Enter paid date","Paid"),IF(E70="","Enter due date",IF(E70&lt;'Data &amp; Targets'!$C$10,"Overdue",IF(E70&lt;'Data &amp; Targets'!$C$10+30,"Due next 30 days","Unpaid"))))))))</x:f>
      </x:c>
    </x:row>
    <x:row r="71" ht="22" customHeight="1">
      <x:c r="A71" s="107"/>
      <x:c r="B71" s="107"/>
      <x:c r="C71" s="107"/>
      <x:c r="D71" s="107"/>
      <x:c r="E71" s="111"/>
      <x:c r="F71" s="109"/>
      <x:c r="G71" s="107"/>
      <x:c r="H71" s="111"/>
      <x:c r="I71" s="107"/>
      <x:c r="J71" t="str">
        <x:f>IF(COUNTA(A71:I71)=0,"",IF(OR(A71="",B71="",C71="",F71="",G71=""),"Complete entry",IF(F71&lt;=0,"Check amount",IF(G71="Cancelled","Cancelled",IF(G71="Paid",IF(H71="","Enter paid date","Paid"),IF(E71="","Enter due date",IF(E71&lt;'Data &amp; Targets'!$C$10,"Overdue",IF(E71&lt;'Data &amp; Targets'!$C$10+30,"Due next 30 days","Unpaid"))))))))</x:f>
      </x:c>
    </x:row>
    <x:row r="72" ht="22" customHeight="1">
      <x:c r="A72" s="107"/>
      <x:c r="B72" s="107"/>
      <x:c r="C72" s="107"/>
      <x:c r="D72" s="107"/>
      <x:c r="E72" s="111"/>
      <x:c r="F72" s="109"/>
      <x:c r="G72" s="107"/>
      <x:c r="H72" s="111"/>
      <x:c r="I72" s="107"/>
      <x:c r="J72" t="str">
        <x:f>IF(COUNTA(A72:I72)=0,"",IF(OR(A72="",B72="",C72="",F72="",G72=""),"Complete entry",IF(F72&lt;=0,"Check amount",IF(G72="Cancelled","Cancelled",IF(G72="Paid",IF(H72="","Enter paid date","Paid"),IF(E72="","Enter due date",IF(E72&lt;'Data &amp; Targets'!$C$10,"Overdue",IF(E72&lt;'Data &amp; Targets'!$C$10+30,"Due next 30 days","Unpaid"))))))))</x:f>
      </x:c>
    </x:row>
    <x:row r="73" ht="22" customHeight="1">
      <x:c r="A73" s="107"/>
      <x:c r="B73" s="107"/>
      <x:c r="C73" s="107"/>
      <x:c r="D73" s="107"/>
      <x:c r="E73" s="111"/>
      <x:c r="F73" s="109"/>
      <x:c r="G73" s="107"/>
      <x:c r="H73" s="111"/>
      <x:c r="I73" s="107"/>
      <x:c r="J73" t="str">
        <x:f>IF(COUNTA(A73:I73)=0,"",IF(OR(A73="",B73="",C73="",F73="",G73=""),"Complete entry",IF(F73&lt;=0,"Check amount",IF(G73="Cancelled","Cancelled",IF(G73="Paid",IF(H73="","Enter paid date","Paid"),IF(E73="","Enter due date",IF(E73&lt;'Data &amp; Targets'!$C$10,"Overdue",IF(E73&lt;'Data &amp; Targets'!$C$10+30,"Due next 30 days","Unpaid"))))))))</x:f>
      </x:c>
    </x:row>
    <x:row r="74" ht="22" customHeight="1">
      <x:c r="A74" s="107"/>
      <x:c r="B74" s="107"/>
      <x:c r="C74" s="107"/>
      <x:c r="D74" s="107"/>
      <x:c r="E74" s="111"/>
      <x:c r="F74" s="109"/>
      <x:c r="G74" s="107"/>
      <x:c r="H74" s="111"/>
      <x:c r="I74" s="107"/>
      <x:c r="J74" t="str">
        <x:f>IF(COUNTA(A74:I74)=0,"",IF(OR(A74="",B74="",C74="",F74="",G74=""),"Complete entry",IF(F74&lt;=0,"Check amount",IF(G74="Cancelled","Cancelled",IF(G74="Paid",IF(H74="","Enter paid date","Paid"),IF(E74="","Enter due date",IF(E74&lt;'Data &amp; Targets'!$C$10,"Overdue",IF(E74&lt;'Data &amp; Targets'!$C$10+30,"Due next 30 days","Unpaid"))))))))</x:f>
      </x:c>
    </x:row>
    <x:row r="75" ht="22" customHeight="1">
      <x:c r="A75" s="107"/>
      <x:c r="B75" s="107"/>
      <x:c r="C75" s="107"/>
      <x:c r="D75" s="107"/>
      <x:c r="E75" s="111"/>
      <x:c r="F75" s="109"/>
      <x:c r="G75" s="107"/>
      <x:c r="H75" s="111"/>
      <x:c r="I75" s="107"/>
      <x:c r="J75" t="str">
        <x:f>IF(COUNTA(A75:I75)=0,"",IF(OR(A75="",B75="",C75="",F75="",G75=""),"Complete entry",IF(F75&lt;=0,"Check amount",IF(G75="Cancelled","Cancelled",IF(G75="Paid",IF(H75="","Enter paid date","Paid"),IF(E75="","Enter due date",IF(E75&lt;'Data &amp; Targets'!$C$10,"Overdue",IF(E75&lt;'Data &amp; Targets'!$C$10+30,"Due next 30 days","Unpaid"))))))))</x:f>
      </x:c>
    </x:row>
    <x:row r="76" ht="22" customHeight="1">
      <x:c r="A76" s="107"/>
      <x:c r="B76" s="107"/>
      <x:c r="C76" s="107"/>
      <x:c r="D76" s="107"/>
      <x:c r="E76" s="111"/>
      <x:c r="F76" s="109"/>
      <x:c r="G76" s="107"/>
      <x:c r="H76" s="111"/>
      <x:c r="I76" s="107"/>
      <x:c r="J76" t="str">
        <x:f>IF(COUNTA(A76:I76)=0,"",IF(OR(A76="",B76="",C76="",F76="",G76=""),"Complete entry",IF(F76&lt;=0,"Check amount",IF(G76="Cancelled","Cancelled",IF(G76="Paid",IF(H76="","Enter paid date","Paid"),IF(E76="","Enter due date",IF(E76&lt;'Data &amp; Targets'!$C$10,"Overdue",IF(E76&lt;'Data &amp; Targets'!$C$10+30,"Due next 30 days","Unpaid"))))))))</x:f>
      </x:c>
    </x:row>
    <x:row r="77" ht="22" customHeight="1">
      <x:c r="A77" s="107"/>
      <x:c r="B77" s="107"/>
      <x:c r="C77" s="107"/>
      <x:c r="D77" s="107"/>
      <x:c r="E77" s="111"/>
      <x:c r="F77" s="109"/>
      <x:c r="G77" s="107"/>
      <x:c r="H77" s="111"/>
      <x:c r="I77" s="107"/>
      <x:c r="J77" t="str">
        <x:f>IF(COUNTA(A77:I77)=0,"",IF(OR(A77="",B77="",C77="",F77="",G77=""),"Complete entry",IF(F77&lt;=0,"Check amount",IF(G77="Cancelled","Cancelled",IF(G77="Paid",IF(H77="","Enter paid date","Paid"),IF(E77="","Enter due date",IF(E77&lt;'Data &amp; Targets'!$C$10,"Overdue",IF(E77&lt;'Data &amp; Targets'!$C$10+30,"Due next 30 days","Unpaid"))))))))</x:f>
      </x:c>
    </x:row>
    <x:row r="78" ht="22" customHeight="1">
      <x:c r="A78" s="107"/>
      <x:c r="B78" s="107"/>
      <x:c r="C78" s="107"/>
      <x:c r="D78" s="107"/>
      <x:c r="E78" s="111"/>
      <x:c r="F78" s="109"/>
      <x:c r="G78" s="107"/>
      <x:c r="H78" s="111"/>
      <x:c r="I78" s="107"/>
      <x:c r="J78" t="str">
        <x:f>IF(COUNTA(A78:I78)=0,"",IF(OR(A78="",B78="",C78="",F78="",G78=""),"Complete entry",IF(F78&lt;=0,"Check amount",IF(G78="Cancelled","Cancelled",IF(G78="Paid",IF(H78="","Enter paid date","Paid"),IF(E78="","Enter due date",IF(E78&lt;'Data &amp; Targets'!$C$10,"Overdue",IF(E78&lt;'Data &amp; Targets'!$C$10+30,"Due next 30 days","Unpaid"))))))))</x:f>
      </x:c>
    </x:row>
    <x:row r="79" ht="22" customHeight="1">
      <x:c r="A79" s="107"/>
      <x:c r="B79" s="107"/>
      <x:c r="C79" s="107"/>
      <x:c r="D79" s="107"/>
      <x:c r="E79" s="111"/>
      <x:c r="F79" s="109"/>
      <x:c r="G79" s="107"/>
      <x:c r="H79" s="111"/>
      <x:c r="I79" s="107"/>
      <x:c r="J79" t="str">
        <x:f>IF(COUNTA(A79:I79)=0,"",IF(OR(A79="",B79="",C79="",F79="",G79=""),"Complete entry",IF(F79&lt;=0,"Check amount",IF(G79="Cancelled","Cancelled",IF(G79="Paid",IF(H79="","Enter paid date","Paid"),IF(E79="","Enter due date",IF(E79&lt;'Data &amp; Targets'!$C$10,"Overdue",IF(E79&lt;'Data &amp; Targets'!$C$10+30,"Due next 30 days","Unpaid"))))))))</x:f>
      </x:c>
    </x:row>
    <x:row r="80" ht="22" customHeight="1">
      <x:c r="A80" s="107"/>
      <x:c r="B80" s="107"/>
      <x:c r="C80" s="107"/>
      <x:c r="D80" s="107"/>
      <x:c r="E80" s="111"/>
      <x:c r="F80" s="109"/>
      <x:c r="G80" s="107"/>
      <x:c r="H80" s="111"/>
      <x:c r="I80" s="107"/>
      <x:c r="J80" t="str">
        <x:f>IF(COUNTA(A80:I80)=0,"",IF(OR(A80="",B80="",C80="",F80="",G80=""),"Complete entry",IF(F80&lt;=0,"Check amount",IF(G80="Cancelled","Cancelled",IF(G80="Paid",IF(H80="","Enter paid date","Paid"),IF(E80="","Enter due date",IF(E80&lt;'Data &amp; Targets'!$C$10,"Overdue",IF(E80&lt;'Data &amp; Targets'!$C$10+30,"Due next 30 days","Unpaid"))))))))</x:f>
      </x:c>
    </x:row>
    <x:row r="81" ht="22" customHeight="1">
      <x:c r="A81" s="107"/>
      <x:c r="B81" s="107"/>
      <x:c r="C81" s="107"/>
      <x:c r="D81" s="107"/>
      <x:c r="E81" s="111"/>
      <x:c r="F81" s="109"/>
      <x:c r="G81" s="107"/>
      <x:c r="H81" s="111"/>
      <x:c r="I81" s="107"/>
      <x:c r="J81" t="str">
        <x:f>IF(COUNTA(A81:I81)=0,"",IF(OR(A81="",B81="",C81="",F81="",G81=""),"Complete entry",IF(F81&lt;=0,"Check amount",IF(G81="Cancelled","Cancelled",IF(G81="Paid",IF(H81="","Enter paid date","Paid"),IF(E81="","Enter due date",IF(E81&lt;'Data &amp; Targets'!$C$10,"Overdue",IF(E81&lt;'Data &amp; Targets'!$C$10+30,"Due next 30 days","Unpaid"))))))))</x:f>
      </x:c>
    </x:row>
    <x:row r="82" ht="22" customHeight="1">
      <x:c r="A82" s="107"/>
      <x:c r="B82" s="107"/>
      <x:c r="C82" s="107"/>
      <x:c r="D82" s="107"/>
      <x:c r="E82" s="111"/>
      <x:c r="F82" s="109"/>
      <x:c r="G82" s="107"/>
      <x:c r="H82" s="111"/>
      <x:c r="I82" s="107"/>
      <x:c r="J82" t="str">
        <x:f>IF(COUNTA(A82:I82)=0,"",IF(OR(A82="",B82="",C82="",F82="",G82=""),"Complete entry",IF(F82&lt;=0,"Check amount",IF(G82="Cancelled","Cancelled",IF(G82="Paid",IF(H82="","Enter paid date","Paid"),IF(E82="","Enter due date",IF(E82&lt;'Data &amp; Targets'!$C$10,"Overdue",IF(E82&lt;'Data &amp; Targets'!$C$10+30,"Due next 30 days","Unpaid"))))))))</x:f>
      </x:c>
    </x:row>
    <x:row r="83" ht="22" customHeight="1">
      <x:c r="A83" s="107"/>
      <x:c r="B83" s="107"/>
      <x:c r="C83" s="107"/>
      <x:c r="D83" s="107"/>
      <x:c r="E83" s="111"/>
      <x:c r="F83" s="109"/>
      <x:c r="G83" s="107"/>
      <x:c r="H83" s="111"/>
      <x:c r="I83" s="107"/>
      <x:c r="J83" t="str">
        <x:f>IF(COUNTA(A83:I83)=0,"",IF(OR(A83="",B83="",C83="",F83="",G83=""),"Complete entry",IF(F83&lt;=0,"Check amount",IF(G83="Cancelled","Cancelled",IF(G83="Paid",IF(H83="","Enter paid date","Paid"),IF(E83="","Enter due date",IF(E83&lt;'Data &amp; Targets'!$C$10,"Overdue",IF(E83&lt;'Data &amp; Targets'!$C$10+30,"Due next 30 days","Unpaid"))))))))</x:f>
      </x:c>
    </x:row>
    <x:row r="84" ht="22" customHeight="1">
      <x:c r="A84" s="107"/>
      <x:c r="B84" s="107"/>
      <x:c r="C84" s="107"/>
      <x:c r="D84" s="107"/>
      <x:c r="E84" s="111"/>
      <x:c r="F84" s="109"/>
      <x:c r="G84" s="107"/>
      <x:c r="H84" s="111"/>
      <x:c r="I84" s="107"/>
      <x:c r="J84" t="str">
        <x:f>IF(COUNTA(A84:I84)=0,"",IF(OR(A84="",B84="",C84="",F84="",G84=""),"Complete entry",IF(F84&lt;=0,"Check amount",IF(G84="Cancelled","Cancelled",IF(G84="Paid",IF(H84="","Enter paid date","Paid"),IF(E84="","Enter due date",IF(E84&lt;'Data &amp; Targets'!$C$10,"Overdue",IF(E84&lt;'Data &amp; Targets'!$C$10+30,"Due next 30 days","Unpaid"))))))))</x:f>
      </x:c>
    </x:row>
    <x:row r="85" ht="22" customHeight="1">
      <x:c r="A85" s="107"/>
      <x:c r="B85" s="107"/>
      <x:c r="C85" s="107"/>
      <x:c r="D85" s="107"/>
      <x:c r="E85" s="111"/>
      <x:c r="F85" s="109"/>
      <x:c r="G85" s="107"/>
      <x:c r="H85" s="111"/>
      <x:c r="I85" s="107"/>
      <x:c r="J85" t="str">
        <x:f>IF(COUNTA(A85:I85)=0,"",IF(OR(A85="",B85="",C85="",F85="",G85=""),"Complete entry",IF(F85&lt;=0,"Check amount",IF(G85="Cancelled","Cancelled",IF(G85="Paid",IF(H85="","Enter paid date","Paid"),IF(E85="","Enter due date",IF(E85&lt;'Data &amp; Targets'!$C$10,"Overdue",IF(E85&lt;'Data &amp; Targets'!$C$10+30,"Due next 30 days","Unpaid"))))))))</x:f>
      </x:c>
    </x:row>
    <x:row r="86" ht="22" customHeight="1">
      <x:c r="A86" s="107"/>
      <x:c r="B86" s="107"/>
      <x:c r="C86" s="107"/>
      <x:c r="D86" s="107"/>
      <x:c r="E86" s="111"/>
      <x:c r="F86" s="109"/>
      <x:c r="G86" s="107"/>
      <x:c r="H86" s="111"/>
      <x:c r="I86" s="107"/>
      <x:c r="J86" t="str">
        <x:f>IF(COUNTA(A86:I86)=0,"",IF(OR(A86="",B86="",C86="",F86="",G86=""),"Complete entry",IF(F86&lt;=0,"Check amount",IF(G86="Cancelled","Cancelled",IF(G86="Paid",IF(H86="","Enter paid date","Paid"),IF(E86="","Enter due date",IF(E86&lt;'Data &amp; Targets'!$C$10,"Overdue",IF(E86&lt;'Data &amp; Targets'!$C$10+30,"Due next 30 days","Unpaid"))))))))</x:f>
      </x:c>
    </x:row>
    <x:row r="87" ht="22" customHeight="1">
      <x:c r="A87" s="107"/>
      <x:c r="B87" s="107"/>
      <x:c r="C87" s="107"/>
      <x:c r="D87" s="107"/>
      <x:c r="E87" s="111"/>
      <x:c r="F87" s="109"/>
      <x:c r="G87" s="107"/>
      <x:c r="H87" s="111"/>
      <x:c r="I87" s="107"/>
      <x:c r="J87" t="str">
        <x:f>IF(COUNTA(A87:I87)=0,"",IF(OR(A87="",B87="",C87="",F87="",G87=""),"Complete entry",IF(F87&lt;=0,"Check amount",IF(G87="Cancelled","Cancelled",IF(G87="Paid",IF(H87="","Enter paid date","Paid"),IF(E87="","Enter due date",IF(E87&lt;'Data &amp; Targets'!$C$10,"Overdue",IF(E87&lt;'Data &amp; Targets'!$C$10+30,"Due next 30 days","Unpaid"))))))))</x:f>
      </x:c>
    </x:row>
    <x:row r="88" ht="22" customHeight="1">
      <x:c r="A88" s="107"/>
      <x:c r="B88" s="107"/>
      <x:c r="C88" s="107"/>
      <x:c r="D88" s="107"/>
      <x:c r="E88" s="111"/>
      <x:c r="F88" s="109"/>
      <x:c r="G88" s="107"/>
      <x:c r="H88" s="111"/>
      <x:c r="I88" s="107"/>
      <x:c r="J88" t="str">
        <x:f>IF(COUNTA(A88:I88)=0,"",IF(OR(A88="",B88="",C88="",F88="",G88=""),"Complete entry",IF(F88&lt;=0,"Check amount",IF(G88="Cancelled","Cancelled",IF(G88="Paid",IF(H88="","Enter paid date","Paid"),IF(E88="","Enter due date",IF(E88&lt;'Data &amp; Targets'!$C$10,"Overdue",IF(E88&lt;'Data &amp; Targets'!$C$10+30,"Due next 30 days","Unpaid"))))))))</x:f>
      </x:c>
    </x:row>
    <x:row r="89" ht="22" customHeight="1">
      <x:c r="A89" s="107"/>
      <x:c r="B89" s="107"/>
      <x:c r="C89" s="107"/>
      <x:c r="D89" s="107"/>
      <x:c r="E89" s="111"/>
      <x:c r="F89" s="109"/>
      <x:c r="G89" s="107"/>
      <x:c r="H89" s="111"/>
      <x:c r="I89" s="107"/>
      <x:c r="J89" t="str">
        <x:f>IF(COUNTA(A89:I89)=0,"",IF(OR(A89="",B89="",C89="",F89="",G89=""),"Complete entry",IF(F89&lt;=0,"Check amount",IF(G89="Cancelled","Cancelled",IF(G89="Paid",IF(H89="","Enter paid date","Paid"),IF(E89="","Enter due date",IF(E89&lt;'Data &amp; Targets'!$C$10,"Overdue",IF(E89&lt;'Data &amp; Targets'!$C$10+30,"Due next 30 days","Unpaid"))))))))</x:f>
      </x:c>
    </x:row>
    <x:row r="90" ht="22" customHeight="1">
      <x:c r="A90" s="107"/>
      <x:c r="B90" s="107"/>
      <x:c r="C90" s="107"/>
      <x:c r="D90" s="107"/>
      <x:c r="E90" s="111"/>
      <x:c r="F90" s="109"/>
      <x:c r="G90" s="107"/>
      <x:c r="H90" s="111"/>
      <x:c r="I90" s="107"/>
      <x:c r="J90" t="str">
        <x:f>IF(COUNTA(A90:I90)=0,"",IF(OR(A90="",B90="",C90="",F90="",G90=""),"Complete entry",IF(F90&lt;=0,"Check amount",IF(G90="Cancelled","Cancelled",IF(G90="Paid",IF(H90="","Enter paid date","Paid"),IF(E90="","Enter due date",IF(E90&lt;'Data &amp; Targets'!$C$10,"Overdue",IF(E90&lt;'Data &amp; Targets'!$C$10+30,"Due next 30 days","Unpaid"))))))))</x:f>
      </x:c>
    </x:row>
    <x:row r="91" ht="22" customHeight="1">
      <x:c r="A91" s="107"/>
      <x:c r="B91" s="107"/>
      <x:c r="C91" s="107"/>
      <x:c r="D91" s="107"/>
      <x:c r="E91" s="111"/>
      <x:c r="F91" s="109"/>
      <x:c r="G91" s="107"/>
      <x:c r="H91" s="111"/>
      <x:c r="I91" s="107"/>
      <x:c r="J91" t="str">
        <x:f>IF(COUNTA(A91:I91)=0,"",IF(OR(A91="",B91="",C91="",F91="",G91=""),"Complete entry",IF(F91&lt;=0,"Check amount",IF(G91="Cancelled","Cancelled",IF(G91="Paid",IF(H91="","Enter paid date","Paid"),IF(E91="","Enter due date",IF(E91&lt;'Data &amp; Targets'!$C$10,"Overdue",IF(E91&lt;'Data &amp; Targets'!$C$10+30,"Due next 30 days","Unpaid"))))))))</x:f>
      </x:c>
    </x:row>
    <x:row r="92" ht="22" customHeight="1">
      <x:c r="A92" s="107"/>
      <x:c r="B92" s="107"/>
      <x:c r="C92" s="107"/>
      <x:c r="D92" s="107"/>
      <x:c r="E92" s="111"/>
      <x:c r="F92" s="109"/>
      <x:c r="G92" s="107"/>
      <x:c r="H92" s="111"/>
      <x:c r="I92" s="107"/>
      <x:c r="J92" t="str">
        <x:f>IF(COUNTA(A92:I92)=0,"",IF(OR(A92="",B92="",C92="",F92="",G92=""),"Complete entry",IF(F92&lt;=0,"Check amount",IF(G92="Cancelled","Cancelled",IF(G92="Paid",IF(H92="","Enter paid date","Paid"),IF(E92="","Enter due date",IF(E92&lt;'Data &amp; Targets'!$C$10,"Overdue",IF(E92&lt;'Data &amp; Targets'!$C$10+30,"Due next 30 days","Unpaid"))))))))</x:f>
      </x:c>
    </x:row>
    <x:row r="93" ht="22" customHeight="1">
      <x:c r="A93" s="107"/>
      <x:c r="B93" s="107"/>
      <x:c r="C93" s="107"/>
      <x:c r="D93" s="107"/>
      <x:c r="E93" s="111"/>
      <x:c r="F93" s="109"/>
      <x:c r="G93" s="107"/>
      <x:c r="H93" s="111"/>
      <x:c r="I93" s="107"/>
      <x:c r="J93" t="str">
        <x:f>IF(COUNTA(A93:I93)=0,"",IF(OR(A93="",B93="",C93="",F93="",G93=""),"Complete entry",IF(F93&lt;=0,"Check amount",IF(G93="Cancelled","Cancelled",IF(G93="Paid",IF(H93="","Enter paid date","Paid"),IF(E93="","Enter due date",IF(E93&lt;'Data &amp; Targets'!$C$10,"Overdue",IF(E93&lt;'Data &amp; Targets'!$C$10+30,"Due next 30 days","Unpaid"))))))))</x:f>
      </x:c>
    </x:row>
    <x:row r="94" ht="22" customHeight="1">
      <x:c r="A94" s="107"/>
      <x:c r="B94" s="107"/>
      <x:c r="C94" s="107"/>
      <x:c r="D94" s="107"/>
      <x:c r="E94" s="111"/>
      <x:c r="F94" s="109"/>
      <x:c r="G94" s="107"/>
      <x:c r="H94" s="111"/>
      <x:c r="I94" s="107"/>
      <x:c r="J94" t="str">
        <x:f>IF(COUNTA(A94:I94)=0,"",IF(OR(A94="",B94="",C94="",F94="",G94=""),"Complete entry",IF(F94&lt;=0,"Check amount",IF(G94="Cancelled","Cancelled",IF(G94="Paid",IF(H94="","Enter paid date","Paid"),IF(E94="","Enter due date",IF(E94&lt;'Data &amp; Targets'!$C$10,"Overdue",IF(E94&lt;'Data &amp; Targets'!$C$10+30,"Due next 30 days","Unpaid"))))))))</x:f>
      </x:c>
    </x:row>
    <x:row r="95" ht="22" customHeight="1">
      <x:c r="A95" s="107"/>
      <x:c r="B95" s="107"/>
      <x:c r="C95" s="107"/>
      <x:c r="D95" s="107"/>
      <x:c r="E95" s="111"/>
      <x:c r="F95" s="109"/>
      <x:c r="G95" s="107"/>
      <x:c r="H95" s="111"/>
      <x:c r="I95" s="107"/>
      <x:c r="J95" t="str">
        <x:f>IF(COUNTA(A95:I95)=0,"",IF(OR(A95="",B95="",C95="",F95="",G95=""),"Complete entry",IF(F95&lt;=0,"Check amount",IF(G95="Cancelled","Cancelled",IF(G95="Paid",IF(H95="","Enter paid date","Paid"),IF(E95="","Enter due date",IF(E95&lt;'Data &amp; Targets'!$C$10,"Overdue",IF(E95&lt;'Data &amp; Targets'!$C$10+30,"Due next 30 days","Unpaid"))))))))</x:f>
      </x:c>
    </x:row>
    <x:row r="96" ht="22" customHeight="1">
      <x:c r="A96" s="107"/>
      <x:c r="B96" s="107"/>
      <x:c r="C96" s="107"/>
      <x:c r="D96" s="107"/>
      <x:c r="E96" s="111"/>
      <x:c r="F96" s="109"/>
      <x:c r="G96" s="107"/>
      <x:c r="H96" s="111"/>
      <x:c r="I96" s="107"/>
      <x:c r="J96" t="str">
        <x:f>IF(COUNTA(A96:I96)=0,"",IF(OR(A96="",B96="",C96="",F96="",G96=""),"Complete entry",IF(F96&lt;=0,"Check amount",IF(G96="Cancelled","Cancelled",IF(G96="Paid",IF(H96="","Enter paid date","Paid"),IF(E96="","Enter due date",IF(E96&lt;'Data &amp; Targets'!$C$10,"Overdue",IF(E96&lt;'Data &amp; Targets'!$C$10+30,"Due next 30 days","Unpaid"))))))))</x:f>
      </x:c>
    </x:row>
    <x:row r="97" ht="22" customHeight="1">
      <x:c r="A97" s="107"/>
      <x:c r="B97" s="107"/>
      <x:c r="C97" s="107"/>
      <x:c r="D97" s="107"/>
      <x:c r="E97" s="111"/>
      <x:c r="F97" s="109"/>
      <x:c r="G97" s="107"/>
      <x:c r="H97" s="111"/>
      <x:c r="I97" s="107"/>
      <x:c r="J97" t="str">
        <x:f>IF(COUNTA(A97:I97)=0,"",IF(OR(A97="",B97="",C97="",F97="",G97=""),"Complete entry",IF(F97&lt;=0,"Check amount",IF(G97="Cancelled","Cancelled",IF(G97="Paid",IF(H97="","Enter paid date","Paid"),IF(E97="","Enter due date",IF(E97&lt;'Data &amp; Targets'!$C$10,"Overdue",IF(E97&lt;'Data &amp; Targets'!$C$10+30,"Due next 30 days","Unpaid"))))))))</x:f>
      </x:c>
    </x:row>
    <x:row r="98" ht="22" customHeight="1">
      <x:c r="A98" s="107"/>
      <x:c r="B98" s="107"/>
      <x:c r="C98" s="107"/>
      <x:c r="D98" s="107"/>
      <x:c r="E98" s="111"/>
      <x:c r="F98" s="109"/>
      <x:c r="G98" s="107"/>
      <x:c r="H98" s="111"/>
      <x:c r="I98" s="107"/>
      <x:c r="J98" t="str">
        <x:f>IF(COUNTA(A98:I98)=0,"",IF(OR(A98="",B98="",C98="",F98="",G98=""),"Complete entry",IF(F98&lt;=0,"Check amount",IF(G98="Cancelled","Cancelled",IF(G98="Paid",IF(H98="","Enter paid date","Paid"),IF(E98="","Enter due date",IF(E98&lt;'Data &amp; Targets'!$C$10,"Overdue",IF(E98&lt;'Data &amp; Targets'!$C$10+30,"Due next 30 days","Unpaid"))))))))</x:f>
      </x:c>
    </x:row>
    <x:row r="99" ht="22" customHeight="1">
      <x:c r="A99" s="107"/>
      <x:c r="B99" s="107"/>
      <x:c r="C99" s="107"/>
      <x:c r="D99" s="107"/>
      <x:c r="E99" s="111"/>
      <x:c r="F99" s="109"/>
      <x:c r="G99" s="107"/>
      <x:c r="H99" s="111"/>
      <x:c r="I99" s="107"/>
      <x:c r="J99" t="str">
        <x:f>IF(COUNTA(A99:I99)=0,"",IF(OR(A99="",B99="",C99="",F99="",G99=""),"Complete entry",IF(F99&lt;=0,"Check amount",IF(G99="Cancelled","Cancelled",IF(G99="Paid",IF(H99="","Enter paid date","Paid"),IF(E99="","Enter due date",IF(E99&lt;'Data &amp; Targets'!$C$10,"Overdue",IF(E99&lt;'Data &amp; Targets'!$C$10+30,"Due next 30 days","Unpaid"))))))))</x:f>
      </x:c>
    </x:row>
    <x:row r="100" ht="22" customHeight="1">
      <x:c r="A100" s="107"/>
      <x:c r="B100" s="107"/>
      <x:c r="C100" s="107"/>
      <x:c r="D100" s="107"/>
      <x:c r="E100" s="111"/>
      <x:c r="F100" s="109"/>
      <x:c r="G100" s="107"/>
      <x:c r="H100" s="111"/>
      <x:c r="I100" s="107"/>
      <x:c r="J100" t="str">
        <x:f>IF(COUNTA(A100:I100)=0,"",IF(OR(A100="",B100="",C100="",F100="",G100=""),"Complete entry",IF(F100&lt;=0,"Check amount",IF(G100="Cancelled","Cancelled",IF(G100="Paid",IF(H100="","Enter paid date","Paid"),IF(E100="","Enter due date",IF(E100&lt;'Data &amp; Targets'!$C$10,"Overdue",IF(E100&lt;'Data &amp; Targets'!$C$10+30,"Due next 30 days","Unpaid"))))))))</x:f>
      </x:c>
    </x:row>
    <x:row r="101" ht="22" customHeight="1">
      <x:c r="A101" s="107"/>
      <x:c r="B101" s="107"/>
      <x:c r="C101" s="107"/>
      <x:c r="D101" s="107"/>
      <x:c r="E101" s="111"/>
      <x:c r="F101" s="109"/>
      <x:c r="G101" s="107"/>
      <x:c r="H101" s="111"/>
      <x:c r="I101" s="107"/>
      <x:c r="J101" t="str">
        <x:f>IF(COUNTA(A101:I101)=0,"",IF(OR(A101="",B101="",C101="",F101="",G101=""),"Complete entry",IF(F101&lt;=0,"Check amount",IF(G101="Cancelled","Cancelled",IF(G101="Paid",IF(H101="","Enter paid date","Paid"),IF(E101="","Enter due date",IF(E101&lt;'Data &amp; Targets'!$C$10,"Overdue",IF(E101&lt;'Data &amp; Targets'!$C$10+30,"Due next 30 days","Unpaid"))))))))</x:f>
      </x:c>
    </x:row>
    <x:row r="102" ht="22" customHeight="1">
      <x:c r="A102" s="107"/>
      <x:c r="B102" s="107"/>
      <x:c r="C102" s="107"/>
      <x:c r="D102" s="107"/>
      <x:c r="E102" s="111"/>
      <x:c r="F102" s="109"/>
      <x:c r="G102" s="107"/>
      <x:c r="H102" s="111"/>
      <x:c r="I102" s="107"/>
      <x:c r="J102" t="str">
        <x:f>IF(COUNTA(A102:I102)=0,"",IF(OR(A102="",B102="",C102="",F102="",G102=""),"Complete entry",IF(F102&lt;=0,"Check amount",IF(G102="Cancelled","Cancelled",IF(G102="Paid",IF(H102="","Enter paid date","Paid"),IF(E102="","Enter due date",IF(E102&lt;'Data &amp; Targets'!$C$10,"Overdue",IF(E102&lt;'Data &amp; Targets'!$C$10+30,"Due next 30 days","Unpaid"))))))))</x:f>
      </x:c>
    </x:row>
    <x:row r="103" ht="22" customHeight="1">
      <x:c r="A103" s="107"/>
      <x:c r="B103" s="107"/>
      <x:c r="C103" s="107"/>
      <x:c r="D103" s="107"/>
      <x:c r="E103" s="111"/>
      <x:c r="F103" s="109"/>
      <x:c r="G103" s="107"/>
      <x:c r="H103" s="111"/>
      <x:c r="I103" s="107"/>
      <x:c r="J103" t="str">
        <x:f>IF(COUNTA(A103:I103)=0,"",IF(OR(A103="",B103="",C103="",F103="",G103=""),"Complete entry",IF(F103&lt;=0,"Check amount",IF(G103="Cancelled","Cancelled",IF(G103="Paid",IF(H103="","Enter paid date","Paid"),IF(E103="","Enter due date",IF(E103&lt;'Data &amp; Targets'!$C$10,"Overdue",IF(E103&lt;'Data &amp; Targets'!$C$10+30,"Due next 30 days","Unpaid"))))))))</x:f>
      </x:c>
    </x:row>
    <x:row r="104" ht="22" customHeight="1">
      <x:c r="A104" s="107"/>
      <x:c r="B104" s="107"/>
      <x:c r="C104" s="107"/>
      <x:c r="D104" s="107"/>
      <x:c r="E104" s="111"/>
      <x:c r="F104" s="109"/>
      <x:c r="G104" s="107"/>
      <x:c r="H104" s="111"/>
      <x:c r="I104" s="107"/>
      <x:c r="J104" t="str">
        <x:f>IF(COUNTA(A104:I104)=0,"",IF(OR(A104="",B104="",C104="",F104="",G104=""),"Complete entry",IF(F104&lt;=0,"Check amount",IF(G104="Cancelled","Cancelled",IF(G104="Paid",IF(H104="","Enter paid date","Paid"),IF(E104="","Enter due date",IF(E104&lt;'Data &amp; Targets'!$C$10,"Overdue",IF(E104&lt;'Data &amp; Targets'!$C$10+30,"Due next 30 days","Unpaid"))))))))</x:f>
      </x:c>
    </x:row>
    <x:row r="105" ht="22" customHeight="1">
      <x:c r="A105" s="107"/>
      <x:c r="B105" s="107"/>
      <x:c r="C105" s="107"/>
      <x:c r="D105" s="107"/>
      <x:c r="E105" s="111"/>
      <x:c r="F105" s="109"/>
      <x:c r="G105" s="107"/>
      <x:c r="H105" s="111"/>
      <x:c r="I105" s="107"/>
      <x:c r="J105" t="str">
        <x:f>IF(COUNTA(A105:I105)=0,"",IF(OR(A105="",B105="",C105="",F105="",G105=""),"Complete entry",IF(F105&lt;=0,"Check amount",IF(G105="Cancelled","Cancelled",IF(G105="Paid",IF(H105="","Enter paid date","Paid"),IF(E105="","Enter due date",IF(E105&lt;'Data &amp; Targets'!$C$10,"Overdue",IF(E105&lt;'Data &amp; Targets'!$C$10+30,"Due next 30 days","Unpaid"))))))))</x:f>
      </x:c>
    </x:row>
    <x:row r="106" ht="22" customHeight="1">
      <x:c r="A106" s="107"/>
      <x:c r="B106" s="107"/>
      <x:c r="C106" s="107"/>
      <x:c r="D106" s="107"/>
      <x:c r="E106" s="111"/>
      <x:c r="F106" s="109"/>
      <x:c r="G106" s="107"/>
      <x:c r="H106" s="111"/>
      <x:c r="I106" s="107"/>
      <x:c r="J106" t="str">
        <x:f>IF(COUNTA(A106:I106)=0,"",IF(OR(A106="",B106="",C106="",F106="",G106=""),"Complete entry",IF(F106&lt;=0,"Check amount",IF(G106="Cancelled","Cancelled",IF(G106="Paid",IF(H106="","Enter paid date","Paid"),IF(E106="","Enter due date",IF(E106&lt;'Data &amp; Targets'!$C$10,"Overdue",IF(E106&lt;'Data &amp; Targets'!$C$10+30,"Due next 30 days","Unpaid"))))))))</x:f>
      </x:c>
    </x:row>
    <x:row r="107" ht="22" customHeight="1">
      <x:c r="A107" s="107"/>
      <x:c r="B107" s="107"/>
      <x:c r="C107" s="107"/>
      <x:c r="D107" s="107"/>
      <x:c r="E107" s="111"/>
      <x:c r="F107" s="109"/>
      <x:c r="G107" s="107"/>
      <x:c r="H107" s="111"/>
      <x:c r="I107" s="107"/>
      <x:c r="J107" t="str">
        <x:f>IF(COUNTA(A107:I107)=0,"",IF(OR(A107="",B107="",C107="",F107="",G107=""),"Complete entry",IF(F107&lt;=0,"Check amount",IF(G107="Cancelled","Cancelled",IF(G107="Paid",IF(H107="","Enter paid date","Paid"),IF(E107="","Enter due date",IF(E107&lt;'Data &amp; Targets'!$C$10,"Overdue",IF(E107&lt;'Data &amp; Targets'!$C$10+30,"Due next 30 days","Unpaid"))))))))</x:f>
      </x:c>
    </x:row>
    <x:row r="108" ht="22" customHeight="1">
      <x:c r="A108" s="107"/>
      <x:c r="B108" s="107"/>
      <x:c r="C108" s="107"/>
      <x:c r="D108" s="107"/>
      <x:c r="E108" s="111"/>
      <x:c r="F108" s="109"/>
      <x:c r="G108" s="107"/>
      <x:c r="H108" s="111"/>
      <x:c r="I108" s="107"/>
      <x:c r="J108" t="str">
        <x:f>IF(COUNTA(A108:I108)=0,"",IF(OR(A108="",B108="",C108="",F108="",G108=""),"Complete entry",IF(F108&lt;=0,"Check amount",IF(G108="Cancelled","Cancelled",IF(G108="Paid",IF(H108="","Enter paid date","Paid"),IF(E108="","Enter due date",IF(E108&lt;'Data &amp; Targets'!$C$10,"Overdue",IF(E108&lt;'Data &amp; Targets'!$C$10+30,"Due next 30 days","Unpaid"))))))))</x:f>
      </x:c>
    </x:row>
    <x:row r="109" ht="22" customHeight="1">
      <x:c r="A109" s="107"/>
      <x:c r="B109" s="107"/>
      <x:c r="C109" s="107"/>
      <x:c r="D109" s="107"/>
      <x:c r="E109" s="111"/>
      <x:c r="F109" s="109"/>
      <x:c r="G109" s="107"/>
      <x:c r="H109" s="111"/>
      <x:c r="I109" s="107"/>
      <x:c r="J109" t="str">
        <x:f>IF(COUNTA(A109:I109)=0,"",IF(OR(A109="",B109="",C109="",F109="",G109=""),"Complete entry",IF(F109&lt;=0,"Check amount",IF(G109="Cancelled","Cancelled",IF(G109="Paid",IF(H109="","Enter paid date","Paid"),IF(E109="","Enter due date",IF(E109&lt;'Data &amp; Targets'!$C$10,"Overdue",IF(E109&lt;'Data &amp; Targets'!$C$10+30,"Due next 30 days","Unpaid"))))))))</x:f>
      </x:c>
    </x:row>
    <x:row r="110" ht="22" customHeight="1">
      <x:c r="A110" s="107"/>
      <x:c r="B110" s="107"/>
      <x:c r="C110" s="107"/>
      <x:c r="D110" s="107"/>
      <x:c r="E110" s="111"/>
      <x:c r="F110" s="109"/>
      <x:c r="G110" s="107"/>
      <x:c r="H110" s="111"/>
      <x:c r="I110" s="107"/>
      <x:c r="J110" t="str">
        <x:f>IF(COUNTA(A110:I110)=0,"",IF(OR(A110="",B110="",C110="",F110="",G110=""),"Complete entry",IF(F110&lt;=0,"Check amount",IF(G110="Cancelled","Cancelled",IF(G110="Paid",IF(H110="","Enter paid date","Paid"),IF(E110="","Enter due date",IF(E110&lt;'Data &amp; Targets'!$C$10,"Overdue",IF(E110&lt;'Data &amp; Targets'!$C$10+30,"Due next 30 days","Unpaid"))))))))</x:f>
      </x:c>
    </x:row>
    <x:row r="111" ht="22" customHeight="1">
      <x:c r="A111" s="107"/>
      <x:c r="B111" s="107"/>
      <x:c r="C111" s="107"/>
      <x:c r="D111" s="107"/>
      <x:c r="E111" s="111"/>
      <x:c r="F111" s="109"/>
      <x:c r="G111" s="107"/>
      <x:c r="H111" s="111"/>
      <x:c r="I111" s="107"/>
      <x:c r="J111" t="str">
        <x:f>IF(COUNTA(A111:I111)=0,"",IF(OR(A111="",B111="",C111="",F111="",G111=""),"Complete entry",IF(F111&lt;=0,"Check amount",IF(G111="Cancelled","Cancelled",IF(G111="Paid",IF(H111="","Enter paid date","Paid"),IF(E111="","Enter due date",IF(E111&lt;'Data &amp; Targets'!$C$10,"Overdue",IF(E111&lt;'Data &amp; Targets'!$C$10+30,"Due next 30 days","Unpaid"))))))))</x:f>
      </x:c>
    </x:row>
    <x:row r="112" ht="22" customHeight="1">
      <x:c r="A112" s="107"/>
      <x:c r="B112" s="107"/>
      <x:c r="C112" s="107"/>
      <x:c r="D112" s="107"/>
      <x:c r="E112" s="111"/>
      <x:c r="F112" s="109"/>
      <x:c r="G112" s="107"/>
      <x:c r="H112" s="111"/>
      <x:c r="I112" s="107"/>
      <x:c r="J112" t="str">
        <x:f>IF(COUNTA(A112:I112)=0,"",IF(OR(A112="",B112="",C112="",F112="",G112=""),"Complete entry",IF(F112&lt;=0,"Check amount",IF(G112="Cancelled","Cancelled",IF(G112="Paid",IF(H112="","Enter paid date","Paid"),IF(E112="","Enter due date",IF(E112&lt;'Data &amp; Targets'!$C$10,"Overdue",IF(E112&lt;'Data &amp; Targets'!$C$10+30,"Due next 30 days","Unpaid"))))))))</x:f>
      </x:c>
    </x:row>
    <x:row r="113" ht="22" customHeight="1">
      <x:c r="A113" s="107"/>
      <x:c r="B113" s="107"/>
      <x:c r="C113" s="107"/>
      <x:c r="D113" s="107"/>
      <x:c r="E113" s="111"/>
      <x:c r="F113" s="109"/>
      <x:c r="G113" s="107"/>
      <x:c r="H113" s="111"/>
      <x:c r="I113" s="107"/>
      <x:c r="J113" t="str">
        <x:f>IF(COUNTA(A113:I113)=0,"",IF(OR(A113="",B113="",C113="",F113="",G113=""),"Complete entry",IF(F113&lt;=0,"Check amount",IF(G113="Cancelled","Cancelled",IF(G113="Paid",IF(H113="","Enter paid date","Paid"),IF(E113="","Enter due date",IF(E113&lt;'Data &amp; Targets'!$C$10,"Overdue",IF(E113&lt;'Data &amp; Targets'!$C$10+30,"Due next 30 days","Unpaid"))))))))</x:f>
      </x:c>
    </x:row>
    <x:row r="114" ht="22" customHeight="1">
      <x:c r="A114" s="107"/>
      <x:c r="B114" s="107"/>
      <x:c r="C114" s="107"/>
      <x:c r="D114" s="107"/>
      <x:c r="E114" s="111"/>
      <x:c r="F114" s="109"/>
      <x:c r="G114" s="107"/>
      <x:c r="H114" s="111"/>
      <x:c r="I114" s="107"/>
      <x:c r="J114" t="str">
        <x:f>IF(COUNTA(A114:I114)=0,"",IF(OR(A114="",B114="",C114="",F114="",G114=""),"Complete entry",IF(F114&lt;=0,"Check amount",IF(G114="Cancelled","Cancelled",IF(G114="Paid",IF(H114="","Enter paid date","Paid"),IF(E114="","Enter due date",IF(E114&lt;'Data &amp; Targets'!$C$10,"Overdue",IF(E114&lt;'Data &amp; Targets'!$C$10+30,"Due next 30 days","Unpaid"))))))))</x:f>
      </x:c>
    </x:row>
    <x:row r="115" ht="22" customHeight="1">
      <x:c r="A115" s="107"/>
      <x:c r="B115" s="107"/>
      <x:c r="C115" s="107"/>
      <x:c r="D115" s="107"/>
      <x:c r="E115" s="111"/>
      <x:c r="F115" s="109"/>
      <x:c r="G115" s="107"/>
      <x:c r="H115" s="111"/>
      <x:c r="I115" s="107"/>
      <x:c r="J115" t="str">
        <x:f>IF(COUNTA(A115:I115)=0,"",IF(OR(A115="",B115="",C115="",F115="",G115=""),"Complete entry",IF(F115&lt;=0,"Check amount",IF(G115="Cancelled","Cancelled",IF(G115="Paid",IF(H115="","Enter paid date","Paid"),IF(E115="","Enter due date",IF(E115&lt;'Data &amp; Targets'!$C$10,"Overdue",IF(E115&lt;'Data &amp; Targets'!$C$10+30,"Due next 30 days","Unpaid"))))))))</x:f>
      </x:c>
    </x:row>
    <x:row r="116" ht="22" customHeight="1">
      <x:c r="A116" s="107"/>
      <x:c r="B116" s="107"/>
      <x:c r="C116" s="107"/>
      <x:c r="D116" s="107"/>
      <x:c r="E116" s="111"/>
      <x:c r="F116" s="109"/>
      <x:c r="G116" s="107"/>
      <x:c r="H116" s="111"/>
      <x:c r="I116" s="107"/>
      <x:c r="J116" t="str">
        <x:f>IF(COUNTA(A116:I116)=0,"",IF(OR(A116="",B116="",C116="",F116="",G116=""),"Complete entry",IF(F116&lt;=0,"Check amount",IF(G116="Cancelled","Cancelled",IF(G116="Paid",IF(H116="","Enter paid date","Paid"),IF(E116="","Enter due date",IF(E116&lt;'Data &amp; Targets'!$C$10,"Overdue",IF(E116&lt;'Data &amp; Targets'!$C$10+30,"Due next 30 days","Unpaid"))))))))</x:f>
      </x:c>
    </x:row>
    <x:row r="117" ht="22" customHeight="1">
      <x:c r="A117" s="107"/>
      <x:c r="B117" s="107"/>
      <x:c r="C117" s="107"/>
      <x:c r="D117" s="107"/>
      <x:c r="E117" s="111"/>
      <x:c r="F117" s="109"/>
      <x:c r="G117" s="107"/>
      <x:c r="H117" s="111"/>
      <x:c r="I117" s="107"/>
      <x:c r="J117" t="str">
        <x:f>IF(COUNTA(A117:I117)=0,"",IF(OR(A117="",B117="",C117="",F117="",G117=""),"Complete entry",IF(F117&lt;=0,"Check amount",IF(G117="Cancelled","Cancelled",IF(G117="Paid",IF(H117="","Enter paid date","Paid"),IF(E117="","Enter due date",IF(E117&lt;'Data &amp; Targets'!$C$10,"Overdue",IF(E117&lt;'Data &amp; Targets'!$C$10+30,"Due next 30 days","Unpaid"))))))))</x:f>
      </x:c>
    </x:row>
    <x:row r="118" ht="22" customHeight="1">
      <x:c r="A118" s="107"/>
      <x:c r="B118" s="107"/>
      <x:c r="C118" s="107"/>
      <x:c r="D118" s="107"/>
      <x:c r="E118" s="111"/>
      <x:c r="F118" s="109"/>
      <x:c r="G118" s="107"/>
      <x:c r="H118" s="111"/>
      <x:c r="I118" s="107"/>
      <x:c r="J118" t="str">
        <x:f>IF(COUNTA(A118:I118)=0,"",IF(OR(A118="",B118="",C118="",F118="",G118=""),"Complete entry",IF(F118&lt;=0,"Check amount",IF(G118="Cancelled","Cancelled",IF(G118="Paid",IF(H118="","Enter paid date","Paid"),IF(E118="","Enter due date",IF(E118&lt;'Data &amp; Targets'!$C$10,"Overdue",IF(E118&lt;'Data &amp; Targets'!$C$10+30,"Due next 30 days","Unpaid"))))))))</x:f>
      </x:c>
    </x:row>
    <x:row r="119" ht="22" customHeight="1">
      <x:c r="A119" s="107"/>
      <x:c r="B119" s="107"/>
      <x:c r="C119" s="107"/>
      <x:c r="D119" s="107"/>
      <x:c r="E119" s="111"/>
      <x:c r="F119" s="109"/>
      <x:c r="G119" s="107"/>
      <x:c r="H119" s="111"/>
      <x:c r="I119" s="107"/>
      <x:c r="J119" t="str">
        <x:f>IF(COUNTA(A119:I119)=0,"",IF(OR(A119="",B119="",C119="",F119="",G119=""),"Complete entry",IF(F119&lt;=0,"Check amount",IF(G119="Cancelled","Cancelled",IF(G119="Paid",IF(H119="","Enter paid date","Paid"),IF(E119="","Enter due date",IF(E119&lt;'Data &amp; Targets'!$C$10,"Overdue",IF(E119&lt;'Data &amp; Targets'!$C$10+30,"Due next 30 days","Unpaid"))))))))</x:f>
      </x:c>
    </x:row>
    <x:row r="120" ht="22" customHeight="1">
      <x:c r="A120" s="107"/>
      <x:c r="B120" s="107"/>
      <x:c r="C120" s="107"/>
      <x:c r="D120" s="107"/>
      <x:c r="E120" s="111"/>
      <x:c r="F120" s="109"/>
      <x:c r="G120" s="107"/>
      <x:c r="H120" s="111"/>
      <x:c r="I120" s="107"/>
      <x:c r="J120" t="str">
        <x:f>IF(COUNTA(A120:I120)=0,"",IF(OR(A120="",B120="",C120="",F120="",G120=""),"Complete entry",IF(F120&lt;=0,"Check amount",IF(G120="Cancelled","Cancelled",IF(G120="Paid",IF(H120="","Enter paid date","Paid"),IF(E120="","Enter due date",IF(E120&lt;'Data &amp; Targets'!$C$10,"Overdue",IF(E120&lt;'Data &amp; Targets'!$C$10+30,"Due next 30 days","Unpaid"))))))))</x:f>
      </x:c>
    </x:row>
    <x:row r="121" ht="22" customHeight="1">
      <x:c r="A121" s="107"/>
      <x:c r="B121" s="107"/>
      <x:c r="C121" s="107"/>
      <x:c r="D121" s="107"/>
      <x:c r="E121" s="111"/>
      <x:c r="F121" s="109"/>
      <x:c r="G121" s="107"/>
      <x:c r="H121" s="111"/>
      <x:c r="I121" s="107"/>
      <x:c r="J121" t="str">
        <x:f>IF(COUNTA(A121:I121)=0,"",IF(OR(A121="",B121="",C121="",F121="",G121=""),"Complete entry",IF(F121&lt;=0,"Check amount",IF(G121="Cancelled","Cancelled",IF(G121="Paid",IF(H121="","Enter paid date","Paid"),IF(E121="","Enter due date",IF(E121&lt;'Data &amp; Targets'!$C$10,"Overdue",IF(E121&lt;'Data &amp; Targets'!$C$10+30,"Due next 30 days","Unpaid"))))))))</x:f>
      </x:c>
    </x:row>
    <x:row r="122" ht="22" customHeight="1">
      <x:c r="A122" s="107"/>
      <x:c r="B122" s="107"/>
      <x:c r="C122" s="107"/>
      <x:c r="D122" s="107"/>
      <x:c r="E122" s="111"/>
      <x:c r="F122" s="109"/>
      <x:c r="G122" s="107"/>
      <x:c r="H122" s="111"/>
      <x:c r="I122" s="107"/>
      <x:c r="J122" t="str">
        <x:f>IF(COUNTA(A122:I122)=0,"",IF(OR(A122="",B122="",C122="",F122="",G122=""),"Complete entry",IF(F122&lt;=0,"Check amount",IF(G122="Cancelled","Cancelled",IF(G122="Paid",IF(H122="","Enter paid date","Paid"),IF(E122="","Enter due date",IF(E122&lt;'Data &amp; Targets'!$C$10,"Overdue",IF(E122&lt;'Data &amp; Targets'!$C$10+30,"Due next 30 days","Unpaid"))))))))</x:f>
      </x:c>
    </x:row>
    <x:row r="123" ht="22" customHeight="1">
      <x:c r="A123" s="107"/>
      <x:c r="B123" s="107"/>
      <x:c r="C123" s="107"/>
      <x:c r="D123" s="107"/>
      <x:c r="E123" s="111"/>
      <x:c r="F123" s="109"/>
      <x:c r="G123" s="107"/>
      <x:c r="H123" s="111"/>
      <x:c r="I123" s="107"/>
      <x:c r="J123" t="str">
        <x:f>IF(COUNTA(A123:I123)=0,"",IF(OR(A123="",B123="",C123="",F123="",G123=""),"Complete entry",IF(F123&lt;=0,"Check amount",IF(G123="Cancelled","Cancelled",IF(G123="Paid",IF(H123="","Enter paid date","Paid"),IF(E123="","Enter due date",IF(E123&lt;'Data &amp; Targets'!$C$10,"Overdue",IF(E123&lt;'Data &amp; Targets'!$C$10+30,"Due next 30 days","Unpaid"))))))))</x:f>
      </x:c>
    </x:row>
    <x:row r="124" ht="22" customHeight="1">
      <x:c r="A124" s="107"/>
      <x:c r="B124" s="107"/>
      <x:c r="C124" s="107"/>
      <x:c r="D124" s="107"/>
      <x:c r="E124" s="111"/>
      <x:c r="F124" s="109"/>
      <x:c r="G124" s="107"/>
      <x:c r="H124" s="111"/>
      <x:c r="I124" s="107"/>
      <x:c r="J124" t="str">
        <x:f>IF(COUNTA(A124:I124)=0,"",IF(OR(A124="",B124="",C124="",F124="",G124=""),"Complete entry",IF(F124&lt;=0,"Check amount",IF(G124="Cancelled","Cancelled",IF(G124="Paid",IF(H124="","Enter paid date","Paid"),IF(E124="","Enter due date",IF(E124&lt;'Data &amp; Targets'!$C$10,"Overdue",IF(E124&lt;'Data &amp; Targets'!$C$10+30,"Due next 30 days","Unpaid"))))))))</x:f>
      </x:c>
    </x:row>
    <x:row r="125" ht="22" customHeight="1">
      <x:c r="A125" s="107"/>
      <x:c r="B125" s="107"/>
      <x:c r="C125" s="107"/>
      <x:c r="D125" s="107"/>
      <x:c r="E125" s="111"/>
      <x:c r="F125" s="109"/>
      <x:c r="G125" s="107"/>
      <x:c r="H125" s="111"/>
      <x:c r="I125" s="107"/>
      <x:c r="J125" t="str">
        <x:f>IF(COUNTA(A125:I125)=0,"",IF(OR(A125="",B125="",C125="",F125="",G125=""),"Complete entry",IF(F125&lt;=0,"Check amount",IF(G125="Cancelled","Cancelled",IF(G125="Paid",IF(H125="","Enter paid date","Paid"),IF(E125="","Enter due date",IF(E125&lt;'Data &amp; Targets'!$C$10,"Overdue",IF(E125&lt;'Data &amp; Targets'!$C$10+30,"Due next 30 days","Unpaid"))))))))</x:f>
      </x:c>
    </x:row>
    <x:row r="126" ht="22" customHeight="1">
      <x:c r="A126" s="107"/>
      <x:c r="B126" s="107"/>
      <x:c r="C126" s="107"/>
      <x:c r="D126" s="107"/>
      <x:c r="E126" s="111"/>
      <x:c r="F126" s="109"/>
      <x:c r="G126" s="107"/>
      <x:c r="H126" s="111"/>
      <x:c r="I126" s="107"/>
      <x:c r="J126" t="str">
        <x:f>IF(COUNTA(A126:I126)=0,"",IF(OR(A126="",B126="",C126="",F126="",G126=""),"Complete entry",IF(F126&lt;=0,"Check amount",IF(G126="Cancelled","Cancelled",IF(G126="Paid",IF(H126="","Enter paid date","Paid"),IF(E126="","Enter due date",IF(E126&lt;'Data &amp; Targets'!$C$10,"Overdue",IF(E126&lt;'Data &amp; Targets'!$C$10+30,"Due next 30 days","Unpaid"))))))))</x:f>
      </x:c>
    </x:row>
    <x:row r="127" ht="22" customHeight="1">
      <x:c r="A127" s="107"/>
      <x:c r="B127" s="107"/>
      <x:c r="C127" s="107"/>
      <x:c r="D127" s="107"/>
      <x:c r="E127" s="111"/>
      <x:c r="F127" s="109"/>
      <x:c r="G127" s="107"/>
      <x:c r="H127" s="111"/>
      <x:c r="I127" s="107"/>
      <x:c r="J127" t="str">
        <x:f>IF(COUNTA(A127:I127)=0,"",IF(OR(A127="",B127="",C127="",F127="",G127=""),"Complete entry",IF(F127&lt;=0,"Check amount",IF(G127="Cancelled","Cancelled",IF(G127="Paid",IF(H127="","Enter paid date","Paid"),IF(E127="","Enter due date",IF(E127&lt;'Data &amp; Targets'!$C$10,"Overdue",IF(E127&lt;'Data &amp; Targets'!$C$10+30,"Due next 30 days","Unpaid"))))))))</x:f>
      </x:c>
    </x:row>
    <x:row r="128" ht="22" customHeight="1">
      <x:c r="A128" s="107"/>
      <x:c r="B128" s="107"/>
      <x:c r="C128" s="107"/>
      <x:c r="D128" s="107"/>
      <x:c r="E128" s="111"/>
      <x:c r="F128" s="109"/>
      <x:c r="G128" s="107"/>
      <x:c r="H128" s="111"/>
      <x:c r="I128" s="107"/>
      <x:c r="J128" t="str">
        <x:f>IF(COUNTA(A128:I128)=0,"",IF(OR(A128="",B128="",C128="",F128="",G128=""),"Complete entry",IF(F128&lt;=0,"Check amount",IF(G128="Cancelled","Cancelled",IF(G128="Paid",IF(H128="","Enter paid date","Paid"),IF(E128="","Enter due date",IF(E128&lt;'Data &amp; Targets'!$C$10,"Overdue",IF(E128&lt;'Data &amp; Targets'!$C$10+30,"Due next 30 days","Unpaid"))))))))</x:f>
      </x:c>
    </x:row>
    <x:row r="129" ht="22" customHeight="1">
      <x:c r="A129" s="107"/>
      <x:c r="B129" s="107"/>
      <x:c r="C129" s="107"/>
      <x:c r="D129" s="107"/>
      <x:c r="E129" s="111"/>
      <x:c r="F129" s="109"/>
      <x:c r="G129" s="107"/>
      <x:c r="H129" s="111"/>
      <x:c r="I129" s="107"/>
      <x:c r="J129" t="str">
        <x:f>IF(COUNTA(A129:I129)=0,"",IF(OR(A129="",B129="",C129="",F129="",G129=""),"Complete entry",IF(F129&lt;=0,"Check amount",IF(G129="Cancelled","Cancelled",IF(G129="Paid",IF(H129="","Enter paid date","Paid"),IF(E129="","Enter due date",IF(E129&lt;'Data &amp; Targets'!$C$10,"Overdue",IF(E129&lt;'Data &amp; Targets'!$C$10+30,"Due next 30 days","Unpaid"))))))))</x:f>
      </x:c>
    </x:row>
    <x:row r="130" ht="22" customHeight="1">
      <x:c r="A130" s="107"/>
      <x:c r="B130" s="107"/>
      <x:c r="C130" s="107"/>
      <x:c r="D130" s="107"/>
      <x:c r="E130" s="111"/>
      <x:c r="F130" s="109"/>
      <x:c r="G130" s="107"/>
      <x:c r="H130" s="111"/>
      <x:c r="I130" s="107"/>
      <x:c r="J130" t="str">
        <x:f>IF(COUNTA(A130:I130)=0,"",IF(OR(A130="",B130="",C130="",F130="",G130=""),"Complete entry",IF(F130&lt;=0,"Check amount",IF(G130="Cancelled","Cancelled",IF(G130="Paid",IF(H130="","Enter paid date","Paid"),IF(E130="","Enter due date",IF(E130&lt;'Data &amp; Targets'!$C$10,"Overdue",IF(E130&lt;'Data &amp; Targets'!$C$10+30,"Due next 30 days","Unpaid"))))))))</x:f>
      </x:c>
    </x:row>
    <x:row r="131" ht="22" customHeight="1">
      <x:c r="A131" s="107"/>
      <x:c r="B131" s="107"/>
      <x:c r="C131" s="107"/>
      <x:c r="D131" s="107"/>
      <x:c r="E131" s="111"/>
      <x:c r="F131" s="109"/>
      <x:c r="G131" s="107"/>
      <x:c r="H131" s="111"/>
      <x:c r="I131" s="107"/>
      <x:c r="J131" t="str">
        <x:f>IF(COUNTA(A131:I131)=0,"",IF(OR(A131="",B131="",C131="",F131="",G131=""),"Complete entry",IF(F131&lt;=0,"Check amount",IF(G131="Cancelled","Cancelled",IF(G131="Paid",IF(H131="","Enter paid date","Paid"),IF(E131="","Enter due date",IF(E131&lt;'Data &amp; Targets'!$C$10,"Overdue",IF(E131&lt;'Data &amp; Targets'!$C$10+30,"Due next 30 days","Unpaid"))))))))</x:f>
      </x:c>
    </x:row>
    <x:row r="132" ht="22" customHeight="1">
      <x:c r="A132" s="107"/>
      <x:c r="B132" s="107"/>
      <x:c r="C132" s="107"/>
      <x:c r="D132" s="107"/>
      <x:c r="E132" s="111"/>
      <x:c r="F132" s="109"/>
      <x:c r="G132" s="107"/>
      <x:c r="H132" s="111"/>
      <x:c r="I132" s="107"/>
      <x:c r="J132" t="str">
        <x:f>IF(COUNTA(A132:I132)=0,"",IF(OR(A132="",B132="",C132="",F132="",G132=""),"Complete entry",IF(F132&lt;=0,"Check amount",IF(G132="Cancelled","Cancelled",IF(G132="Paid",IF(H132="","Enter paid date","Paid"),IF(E132="","Enter due date",IF(E132&lt;'Data &amp; Targets'!$C$10,"Overdue",IF(E132&lt;'Data &amp; Targets'!$C$10+30,"Due next 30 days","Unpaid"))))))))</x:f>
      </x:c>
    </x:row>
    <x:row r="133" ht="22" customHeight="1">
      <x:c r="A133" s="107"/>
      <x:c r="B133" s="107"/>
      <x:c r="C133" s="107"/>
      <x:c r="D133" s="107"/>
      <x:c r="E133" s="111"/>
      <x:c r="F133" s="109"/>
      <x:c r="G133" s="107"/>
      <x:c r="H133" s="111"/>
      <x:c r="I133" s="107"/>
      <x:c r="J133" t="str">
        <x:f>IF(COUNTA(A133:I133)=0,"",IF(OR(A133="",B133="",C133="",F133="",G133=""),"Complete entry",IF(F133&lt;=0,"Check amount",IF(G133="Cancelled","Cancelled",IF(G133="Paid",IF(H133="","Enter paid date","Paid"),IF(E133="","Enter due date",IF(E133&lt;'Data &amp; Targets'!$C$10,"Overdue",IF(E133&lt;'Data &amp; Targets'!$C$10+30,"Due next 30 days","Unpaid"))))))))</x:f>
      </x:c>
    </x:row>
    <x:row r="134" ht="22" customHeight="1">
      <x:c r="A134" s="107"/>
      <x:c r="B134" s="107"/>
      <x:c r="C134" s="107"/>
      <x:c r="D134" s="107"/>
      <x:c r="E134" s="111"/>
      <x:c r="F134" s="109"/>
      <x:c r="G134" s="107"/>
      <x:c r="H134" s="111"/>
      <x:c r="I134" s="107"/>
      <x:c r="J134" t="str">
        <x:f>IF(COUNTA(A134:I134)=0,"",IF(OR(A134="",B134="",C134="",F134="",G134=""),"Complete entry",IF(F134&lt;=0,"Check amount",IF(G134="Cancelled","Cancelled",IF(G134="Paid",IF(H134="","Enter paid date","Paid"),IF(E134="","Enter due date",IF(E134&lt;'Data &amp; Targets'!$C$10,"Overdue",IF(E134&lt;'Data &amp; Targets'!$C$10+30,"Due next 30 days","Unpaid"))))))))</x:f>
      </x:c>
    </x:row>
    <x:row r="135" ht="22" customHeight="1">
      <x:c r="A135" s="107"/>
      <x:c r="B135" s="107"/>
      <x:c r="C135" s="107"/>
      <x:c r="D135" s="107"/>
      <x:c r="E135" s="111"/>
      <x:c r="F135" s="109"/>
      <x:c r="G135" s="107"/>
      <x:c r="H135" s="111"/>
      <x:c r="I135" s="107"/>
      <x:c r="J135" t="str">
        <x:f>IF(COUNTA(A135:I135)=0,"",IF(OR(A135="",B135="",C135="",F135="",G135=""),"Complete entry",IF(F135&lt;=0,"Check amount",IF(G135="Cancelled","Cancelled",IF(G135="Paid",IF(H135="","Enter paid date","Paid"),IF(E135="","Enter due date",IF(E135&lt;'Data &amp; Targets'!$C$10,"Overdue",IF(E135&lt;'Data &amp; Targets'!$C$10+30,"Due next 30 days","Unpaid"))))))))</x:f>
      </x:c>
    </x:row>
    <x:row r="136" ht="22" customHeight="1">
      <x:c r="A136" s="107"/>
      <x:c r="B136" s="107"/>
      <x:c r="C136" s="107"/>
      <x:c r="D136" s="107"/>
      <x:c r="E136" s="111"/>
      <x:c r="F136" s="109"/>
      <x:c r="G136" s="107"/>
      <x:c r="H136" s="111"/>
      <x:c r="I136" s="107"/>
      <x:c r="J136" t="str">
        <x:f>IF(COUNTA(A136:I136)=0,"",IF(OR(A136="",B136="",C136="",F136="",G136=""),"Complete entry",IF(F136&lt;=0,"Check amount",IF(G136="Cancelled","Cancelled",IF(G136="Paid",IF(H136="","Enter paid date","Paid"),IF(E136="","Enter due date",IF(E136&lt;'Data &amp; Targets'!$C$10,"Overdue",IF(E136&lt;'Data &amp; Targets'!$C$10+30,"Due next 30 days","Unpaid"))))))))</x:f>
      </x:c>
    </x:row>
    <x:row r="137" ht="22" customHeight="1">
      <x:c r="A137" s="107"/>
      <x:c r="B137" s="107"/>
      <x:c r="C137" s="107"/>
      <x:c r="D137" s="107"/>
      <x:c r="E137" s="111"/>
      <x:c r="F137" s="109"/>
      <x:c r="G137" s="107"/>
      <x:c r="H137" s="111"/>
      <x:c r="I137" s="107"/>
      <x:c r="J137" t="str">
        <x:f>IF(COUNTA(A137:I137)=0,"",IF(OR(A137="",B137="",C137="",F137="",G137=""),"Complete entry",IF(F137&lt;=0,"Check amount",IF(G137="Cancelled","Cancelled",IF(G137="Paid",IF(H137="","Enter paid date","Paid"),IF(E137="","Enter due date",IF(E137&lt;'Data &amp; Targets'!$C$10,"Overdue",IF(E137&lt;'Data &amp; Targets'!$C$10+30,"Due next 30 days","Unpaid"))))))))</x:f>
      </x:c>
    </x:row>
    <x:row r="138" ht="22" customHeight="1">
      <x:c r="A138" s="107"/>
      <x:c r="B138" s="107"/>
      <x:c r="C138" s="107"/>
      <x:c r="D138" s="107"/>
      <x:c r="E138" s="111"/>
      <x:c r="F138" s="109"/>
      <x:c r="G138" s="107"/>
      <x:c r="H138" s="111"/>
      <x:c r="I138" s="107"/>
      <x:c r="J138" t="str">
        <x:f>IF(COUNTA(A138:I138)=0,"",IF(OR(A138="",B138="",C138="",F138="",G138=""),"Complete entry",IF(F138&lt;=0,"Check amount",IF(G138="Cancelled","Cancelled",IF(G138="Paid",IF(H138="","Enter paid date","Paid"),IF(E138="","Enter due date",IF(E138&lt;'Data &amp; Targets'!$C$10,"Overdue",IF(E138&lt;'Data &amp; Targets'!$C$10+30,"Due next 30 days","Unpaid"))))))))</x:f>
      </x:c>
    </x:row>
    <x:row r="139" ht="22" customHeight="1">
      <x:c r="A139" s="107"/>
      <x:c r="B139" s="107"/>
      <x:c r="C139" s="107"/>
      <x:c r="D139" s="107"/>
      <x:c r="E139" s="111"/>
      <x:c r="F139" s="109"/>
      <x:c r="G139" s="107"/>
      <x:c r="H139" s="111"/>
      <x:c r="I139" s="107"/>
      <x:c r="J139" t="str">
        <x:f>IF(COUNTA(A139:I139)=0,"",IF(OR(A139="",B139="",C139="",F139="",G139=""),"Complete entry",IF(F139&lt;=0,"Check amount",IF(G139="Cancelled","Cancelled",IF(G139="Paid",IF(H139="","Enter paid date","Paid"),IF(E139="","Enter due date",IF(E139&lt;'Data &amp; Targets'!$C$10,"Overdue",IF(E139&lt;'Data &amp; Targets'!$C$10+30,"Due next 30 days","Unpaid"))))))))</x:f>
      </x:c>
    </x:row>
    <x:row r="140" ht="22" customHeight="1">
      <x:c r="A140" s="107"/>
      <x:c r="B140" s="107"/>
      <x:c r="C140" s="107"/>
      <x:c r="D140" s="107"/>
      <x:c r="E140" s="111"/>
      <x:c r="F140" s="109"/>
      <x:c r="G140" s="107"/>
      <x:c r="H140" s="111"/>
      <x:c r="I140" s="107"/>
      <x:c r="J140" t="str">
        <x:f>IF(COUNTA(A140:I140)=0,"",IF(OR(A140="",B140="",C140="",F140="",G140=""),"Complete entry",IF(F140&lt;=0,"Check amount",IF(G140="Cancelled","Cancelled",IF(G140="Paid",IF(H140="","Enter paid date","Paid"),IF(E140="","Enter due date",IF(E140&lt;'Data &amp; Targets'!$C$10,"Overdue",IF(E140&lt;'Data &amp; Targets'!$C$10+30,"Due next 30 days","Unpaid"))))))))</x:f>
      </x:c>
    </x:row>
    <x:row r="141" ht="22" customHeight="1">
      <x:c r="A141" s="107"/>
      <x:c r="B141" s="107"/>
      <x:c r="C141" s="107"/>
      <x:c r="D141" s="107"/>
      <x:c r="E141" s="111"/>
      <x:c r="F141" s="109"/>
      <x:c r="G141" s="107"/>
      <x:c r="H141" s="111"/>
      <x:c r="I141" s="107"/>
      <x:c r="J141" t="str">
        <x:f>IF(COUNTA(A141:I141)=0,"",IF(OR(A141="",B141="",C141="",F141="",G141=""),"Complete entry",IF(F141&lt;=0,"Check amount",IF(G141="Cancelled","Cancelled",IF(G141="Paid",IF(H141="","Enter paid date","Paid"),IF(E141="","Enter due date",IF(E141&lt;'Data &amp; Targets'!$C$10,"Overdue",IF(E141&lt;'Data &amp; Targets'!$C$10+30,"Due next 30 days","Unpaid"))))))))</x:f>
      </x:c>
    </x:row>
    <x:row r="142" ht="22" customHeight="1">
      <x:c r="A142" s="107"/>
      <x:c r="B142" s="107"/>
      <x:c r="C142" s="107"/>
      <x:c r="D142" s="107"/>
      <x:c r="E142" s="111"/>
      <x:c r="F142" s="109"/>
      <x:c r="G142" s="107"/>
      <x:c r="H142" s="111"/>
      <x:c r="I142" s="107"/>
      <x:c r="J142" t="str">
        <x:f>IF(COUNTA(A142:I142)=0,"",IF(OR(A142="",B142="",C142="",F142="",G142=""),"Complete entry",IF(F142&lt;=0,"Check amount",IF(G142="Cancelled","Cancelled",IF(G142="Paid",IF(H142="","Enter paid date","Paid"),IF(E142="","Enter due date",IF(E142&lt;'Data &amp; Targets'!$C$10,"Overdue",IF(E142&lt;'Data &amp; Targets'!$C$10+30,"Due next 30 days","Unpaid"))))))))</x:f>
      </x:c>
    </x:row>
    <x:row r="143" ht="22" customHeight="1">
      <x:c r="A143" s="107"/>
      <x:c r="B143" s="107"/>
      <x:c r="C143" s="107"/>
      <x:c r="D143" s="107"/>
      <x:c r="E143" s="111"/>
      <x:c r="F143" s="109"/>
      <x:c r="G143" s="107"/>
      <x:c r="H143" s="111"/>
      <x:c r="I143" s="107"/>
      <x:c r="J143" t="str">
        <x:f>IF(COUNTA(A143:I143)=0,"",IF(OR(A143="",B143="",C143="",F143="",G143=""),"Complete entry",IF(F143&lt;=0,"Check amount",IF(G143="Cancelled","Cancelled",IF(G143="Paid",IF(H143="","Enter paid date","Paid"),IF(E143="","Enter due date",IF(E143&lt;'Data &amp; Targets'!$C$10,"Overdue",IF(E143&lt;'Data &amp; Targets'!$C$10+30,"Due next 30 days","Unpaid"))))))))</x:f>
      </x:c>
    </x:row>
    <x:row r="144" ht="22" customHeight="1">
      <x:c r="A144" s="107"/>
      <x:c r="B144" s="107"/>
      <x:c r="C144" s="107"/>
      <x:c r="D144" s="107"/>
      <x:c r="E144" s="111"/>
      <x:c r="F144" s="109"/>
      <x:c r="G144" s="107"/>
      <x:c r="H144" s="111"/>
      <x:c r="I144" s="107"/>
      <x:c r="J144" t="str">
        <x:f>IF(COUNTA(A144:I144)=0,"",IF(OR(A144="",B144="",C144="",F144="",G144=""),"Complete entry",IF(F144&lt;=0,"Check amount",IF(G144="Cancelled","Cancelled",IF(G144="Paid",IF(H144="","Enter paid date","Paid"),IF(E144="","Enter due date",IF(E144&lt;'Data &amp; Targets'!$C$10,"Overdue",IF(E144&lt;'Data &amp; Targets'!$C$10+30,"Due next 30 days","Unpaid"))))))))</x:f>
      </x:c>
    </x:row>
    <x:row r="145" ht="22" customHeight="1">
      <x:c r="A145" s="107"/>
      <x:c r="B145" s="107"/>
      <x:c r="C145" s="107"/>
      <x:c r="D145" s="107"/>
      <x:c r="E145" s="111"/>
      <x:c r="F145" s="109"/>
      <x:c r="G145" s="107"/>
      <x:c r="H145" s="111"/>
      <x:c r="I145" s="107"/>
      <x:c r="J145" t="str">
        <x:f>IF(COUNTA(A145:I145)=0,"",IF(OR(A145="",B145="",C145="",F145="",G145=""),"Complete entry",IF(F145&lt;=0,"Check amount",IF(G145="Cancelled","Cancelled",IF(G145="Paid",IF(H145="","Enter paid date","Paid"),IF(E145="","Enter due date",IF(E145&lt;'Data &amp; Targets'!$C$10,"Overdue",IF(E145&lt;'Data &amp; Targets'!$C$10+30,"Due next 30 days","Unpaid"))))))))</x:f>
      </x:c>
    </x:row>
    <x:row r="146" ht="22" customHeight="1">
      <x:c r="A146" s="107"/>
      <x:c r="B146" s="107"/>
      <x:c r="C146" s="107"/>
      <x:c r="D146" s="107"/>
      <x:c r="E146" s="111"/>
      <x:c r="F146" s="109"/>
      <x:c r="G146" s="107"/>
      <x:c r="H146" s="111"/>
      <x:c r="I146" s="107"/>
      <x:c r="J146" t="str">
        <x:f>IF(COUNTA(A146:I146)=0,"",IF(OR(A146="",B146="",C146="",F146="",G146=""),"Complete entry",IF(F146&lt;=0,"Check amount",IF(G146="Cancelled","Cancelled",IF(G146="Paid",IF(H146="","Enter paid date","Paid"),IF(E146="","Enter due date",IF(E146&lt;'Data &amp; Targets'!$C$10,"Overdue",IF(E146&lt;'Data &amp; Targets'!$C$10+30,"Due next 30 days","Unpaid"))))))))</x:f>
      </x:c>
    </x:row>
    <x:row r="147" ht="22" customHeight="1">
      <x:c r="A147" s="107"/>
      <x:c r="B147" s="107"/>
      <x:c r="C147" s="107"/>
      <x:c r="D147" s="107"/>
      <x:c r="E147" s="111"/>
      <x:c r="F147" s="109"/>
      <x:c r="G147" s="107"/>
      <x:c r="H147" s="111"/>
      <x:c r="I147" s="107"/>
      <x:c r="J147" t="str">
        <x:f>IF(COUNTA(A147:I147)=0,"",IF(OR(A147="",B147="",C147="",F147="",G147=""),"Complete entry",IF(F147&lt;=0,"Check amount",IF(G147="Cancelled","Cancelled",IF(G147="Paid",IF(H147="","Enter paid date","Paid"),IF(E147="","Enter due date",IF(E147&lt;'Data &amp; Targets'!$C$10,"Overdue",IF(E147&lt;'Data &amp; Targets'!$C$10+30,"Due next 30 days","Unpaid"))))))))</x:f>
      </x:c>
    </x:row>
    <x:row r="148" ht="22" customHeight="1">
      <x:c r="A148" s="107"/>
      <x:c r="B148" s="107"/>
      <x:c r="C148" s="107"/>
      <x:c r="D148" s="107"/>
      <x:c r="E148" s="111"/>
      <x:c r="F148" s="109"/>
      <x:c r="G148" s="107"/>
      <x:c r="H148" s="111"/>
      <x:c r="I148" s="107"/>
      <x:c r="J148" t="str">
        <x:f>IF(COUNTA(A148:I148)=0,"",IF(OR(A148="",B148="",C148="",F148="",G148=""),"Complete entry",IF(F148&lt;=0,"Check amount",IF(G148="Cancelled","Cancelled",IF(G148="Paid",IF(H148="","Enter paid date","Paid"),IF(E148="","Enter due date",IF(E148&lt;'Data &amp; Targets'!$C$10,"Overdue",IF(E148&lt;'Data &amp; Targets'!$C$10+30,"Due next 30 days","Unpaid"))))))))</x:f>
      </x:c>
    </x:row>
    <x:row r="149" ht="22" customHeight="1">
      <x:c r="A149" s="107"/>
      <x:c r="B149" s="107"/>
      <x:c r="C149" s="107"/>
      <x:c r="D149" s="107"/>
      <x:c r="E149" s="111"/>
      <x:c r="F149" s="109"/>
      <x:c r="G149" s="107"/>
      <x:c r="H149" s="111"/>
      <x:c r="I149" s="107"/>
      <x:c r="J149" t="str">
        <x:f>IF(COUNTA(A149:I149)=0,"",IF(OR(A149="",B149="",C149="",F149="",G149=""),"Complete entry",IF(F149&lt;=0,"Check amount",IF(G149="Cancelled","Cancelled",IF(G149="Paid",IF(H149="","Enter paid date","Paid"),IF(E149="","Enter due date",IF(E149&lt;'Data &amp; Targets'!$C$10,"Overdue",IF(E149&lt;'Data &amp; Targets'!$C$10+30,"Due next 30 days","Unpaid"))))))))</x:f>
      </x:c>
    </x:row>
    <x:row r="150" ht="22" customHeight="1">
      <x:c r="A150" s="107"/>
      <x:c r="B150" s="107"/>
      <x:c r="C150" s="107"/>
      <x:c r="D150" s="107"/>
      <x:c r="E150" s="111"/>
      <x:c r="F150" s="109"/>
      <x:c r="G150" s="107"/>
      <x:c r="H150" s="111"/>
      <x:c r="I150" s="107"/>
      <x:c r="J150" t="str">
        <x:f>IF(COUNTA(A150:I150)=0,"",IF(OR(A150="",B150="",C150="",F150="",G150=""),"Complete entry",IF(F150&lt;=0,"Check amount",IF(G150="Cancelled","Cancelled",IF(G150="Paid",IF(H150="","Enter paid date","Paid"),IF(E150="","Enter due date",IF(E150&lt;'Data &amp; Targets'!$C$10,"Overdue",IF(E150&lt;'Data &amp; Targets'!$C$10+30,"Due next 30 days","Unpaid"))))))))</x:f>
      </x:c>
    </x:row>
    <x:row r="151" ht="22" customHeight="1">
      <x:c r="A151" s="107"/>
      <x:c r="B151" s="107"/>
      <x:c r="C151" s="107"/>
      <x:c r="D151" s="107"/>
      <x:c r="E151" s="111"/>
      <x:c r="F151" s="109"/>
      <x:c r="G151" s="107"/>
      <x:c r="H151" s="111"/>
      <x:c r="I151" s="107"/>
      <x:c r="J151" t="str">
        <x:f>IF(COUNTA(A151:I151)=0,"",IF(OR(A151="",B151="",C151="",F151="",G151=""),"Complete entry",IF(F151&lt;=0,"Check amount",IF(G151="Cancelled","Cancelled",IF(G151="Paid",IF(H151="","Enter paid date","Paid"),IF(E151="","Enter due date",IF(E151&lt;'Data &amp; Targets'!$C$10,"Overdue",IF(E151&lt;'Data &amp; Targets'!$C$10+30,"Due next 30 days","Unpaid"))))))))</x:f>
      </x:c>
    </x:row>
    <x:row r="152" ht="22" customHeight="1">
      <x:c r="A152" s="107"/>
      <x:c r="B152" s="107"/>
      <x:c r="C152" s="107"/>
      <x:c r="D152" s="107"/>
      <x:c r="E152" s="111"/>
      <x:c r="F152" s="109"/>
      <x:c r="G152" s="107"/>
      <x:c r="H152" s="111"/>
      <x:c r="I152" s="107"/>
      <x:c r="J152" t="str">
        <x:f>IF(COUNTA(A152:I152)=0,"",IF(OR(A152="",B152="",C152="",F152="",G152=""),"Complete entry",IF(F152&lt;=0,"Check amount",IF(G152="Cancelled","Cancelled",IF(G152="Paid",IF(H152="","Enter paid date","Paid"),IF(E152="","Enter due date",IF(E152&lt;'Data &amp; Targets'!$C$10,"Overdue",IF(E152&lt;'Data &amp; Targets'!$C$10+30,"Due next 30 days","Unpaid"))))))))</x:f>
      </x:c>
    </x:row>
    <x:row r="153" ht="22" customHeight="1">
      <x:c r="A153" s="107"/>
      <x:c r="B153" s="107"/>
      <x:c r="C153" s="107"/>
      <x:c r="D153" s="107"/>
      <x:c r="E153" s="111"/>
      <x:c r="F153" s="109"/>
      <x:c r="G153" s="107"/>
      <x:c r="H153" s="111"/>
      <x:c r="I153" s="107"/>
      <x:c r="J153" t="str">
        <x:f>IF(COUNTA(A153:I153)=0,"",IF(OR(A153="",B153="",C153="",F153="",G153=""),"Complete entry",IF(F153&lt;=0,"Check amount",IF(G153="Cancelled","Cancelled",IF(G153="Paid",IF(H153="","Enter paid date","Paid"),IF(E153="","Enter due date",IF(E153&lt;'Data &amp; Targets'!$C$10,"Overdue",IF(E153&lt;'Data &amp; Targets'!$C$10+30,"Due next 30 days","Unpaid"))))))))</x:f>
      </x:c>
    </x:row>
    <x:row r="154" ht="22" customHeight="1">
      <x:c r="A154" s="107"/>
      <x:c r="B154" s="107"/>
      <x:c r="C154" s="107"/>
      <x:c r="D154" s="107"/>
      <x:c r="E154" s="111"/>
      <x:c r="F154" s="109"/>
      <x:c r="G154" s="107"/>
      <x:c r="H154" s="111"/>
      <x:c r="I154" s="107"/>
      <x:c r="J154" t="str">
        <x:f>IF(COUNTA(A154:I154)=0,"",IF(OR(A154="",B154="",C154="",F154="",G154=""),"Complete entry",IF(F154&lt;=0,"Check amount",IF(G154="Cancelled","Cancelled",IF(G154="Paid",IF(H154="","Enter paid date","Paid"),IF(E154="","Enter due date",IF(E154&lt;'Data &amp; Targets'!$C$10,"Overdue",IF(E154&lt;'Data &amp; Targets'!$C$10+30,"Due next 30 days","Unpaid"))))))))</x:f>
      </x:c>
    </x:row>
    <x:row r="155" ht="22" customHeight="1">
      <x:c r="A155" s="107"/>
      <x:c r="B155" s="107"/>
      <x:c r="C155" s="107"/>
      <x:c r="D155" s="107"/>
      <x:c r="E155" s="111"/>
      <x:c r="F155" s="109"/>
      <x:c r="G155" s="107"/>
      <x:c r="H155" s="111"/>
      <x:c r="I155" s="107"/>
      <x:c r="J155" t="str">
        <x:f>IF(COUNTA(A155:I155)=0,"",IF(OR(A155="",B155="",C155="",F155="",G155=""),"Complete entry",IF(F155&lt;=0,"Check amount",IF(G155="Cancelled","Cancelled",IF(G155="Paid",IF(H155="","Enter paid date","Paid"),IF(E155="","Enter due date",IF(E155&lt;'Data &amp; Targets'!$C$10,"Overdue",IF(E155&lt;'Data &amp; Targets'!$C$10+30,"Due next 30 days","Unpaid"))))))))</x:f>
      </x:c>
    </x:row>
    <x:row r="156" ht="22" customHeight="1">
      <x:c r="A156" s="107"/>
      <x:c r="B156" s="107"/>
      <x:c r="C156" s="107"/>
      <x:c r="D156" s="107"/>
      <x:c r="E156" s="111"/>
      <x:c r="F156" s="109"/>
      <x:c r="G156" s="107"/>
      <x:c r="H156" s="111"/>
      <x:c r="I156" s="107"/>
      <x:c r="J156" t="str">
        <x:f>IF(COUNTA(A156:I156)=0,"",IF(OR(A156="",B156="",C156="",F156="",G156=""),"Complete entry",IF(F156&lt;=0,"Check amount",IF(G156="Cancelled","Cancelled",IF(G156="Paid",IF(H156="","Enter paid date","Paid"),IF(E156="","Enter due date",IF(E156&lt;'Data &amp; Targets'!$C$10,"Overdue",IF(E156&lt;'Data &amp; Targets'!$C$10+30,"Due next 30 days","Unpaid"))))))))</x:f>
      </x:c>
    </x:row>
    <x:row r="157" ht="22" customHeight="1">
      <x:c r="A157" s="107"/>
      <x:c r="B157" s="107"/>
      <x:c r="C157" s="107"/>
      <x:c r="D157" s="107"/>
      <x:c r="E157" s="111"/>
      <x:c r="F157" s="109"/>
      <x:c r="G157" s="107"/>
      <x:c r="H157" s="111"/>
      <x:c r="I157" s="107"/>
      <x:c r="J157" t="str">
        <x:f>IF(COUNTA(A157:I157)=0,"",IF(OR(A157="",B157="",C157="",F157="",G157=""),"Complete entry",IF(F157&lt;=0,"Check amount",IF(G157="Cancelled","Cancelled",IF(G157="Paid",IF(H157="","Enter paid date","Paid"),IF(E157="","Enter due date",IF(E157&lt;'Data &amp; Targets'!$C$10,"Overdue",IF(E157&lt;'Data &amp; Targets'!$C$10+30,"Due next 30 days","Unpaid"))))))))</x:f>
      </x:c>
    </x:row>
    <x:row r="158" ht="22" customHeight="1">
      <x:c r="A158" s="107"/>
      <x:c r="B158" s="107"/>
      <x:c r="C158" s="107"/>
      <x:c r="D158" s="107"/>
      <x:c r="E158" s="111"/>
      <x:c r="F158" s="109"/>
      <x:c r="G158" s="107"/>
      <x:c r="H158" s="111"/>
      <x:c r="I158" s="107"/>
      <x:c r="J158" t="str">
        <x:f>IF(COUNTA(A158:I158)=0,"",IF(OR(A158="",B158="",C158="",F158="",G158=""),"Complete entry",IF(F158&lt;=0,"Check amount",IF(G158="Cancelled","Cancelled",IF(G158="Paid",IF(H158="","Enter paid date","Paid"),IF(E158="","Enter due date",IF(E158&lt;'Data &amp; Targets'!$C$10,"Overdue",IF(E158&lt;'Data &amp; Targets'!$C$10+30,"Due next 30 days","Unpaid"))))))))</x:f>
      </x:c>
    </x:row>
    <x:row r="159" ht="22" customHeight="1">
      <x:c r="A159" s="107"/>
      <x:c r="B159" s="107"/>
      <x:c r="C159" s="107"/>
      <x:c r="D159" s="107"/>
      <x:c r="E159" s="111"/>
      <x:c r="F159" s="109"/>
      <x:c r="G159" s="107"/>
      <x:c r="H159" s="111"/>
      <x:c r="I159" s="107"/>
      <x:c r="J159" t="str">
        <x:f>IF(COUNTA(A159:I159)=0,"",IF(OR(A159="",B159="",C159="",F159="",G159=""),"Complete entry",IF(F159&lt;=0,"Check amount",IF(G159="Cancelled","Cancelled",IF(G159="Paid",IF(H159="","Enter paid date","Paid"),IF(E159="","Enter due date",IF(E159&lt;'Data &amp; Targets'!$C$10,"Overdue",IF(E159&lt;'Data &amp; Targets'!$C$10+30,"Due next 30 days","Unpaid"))))))))</x:f>
      </x:c>
    </x:row>
    <x:row r="160" ht="22" customHeight="1">
      <x:c r="A160" s="107"/>
      <x:c r="B160" s="107"/>
      <x:c r="C160" s="107"/>
      <x:c r="D160" s="107"/>
      <x:c r="E160" s="111"/>
      <x:c r="F160" s="109"/>
      <x:c r="G160" s="107"/>
      <x:c r="H160" s="111"/>
      <x:c r="I160" s="107"/>
      <x:c r="J160" t="str">
        <x:f>IF(COUNTA(A160:I160)=0,"",IF(OR(A160="",B160="",C160="",F160="",G160=""),"Complete entry",IF(F160&lt;=0,"Check amount",IF(G160="Cancelled","Cancelled",IF(G160="Paid",IF(H160="","Enter paid date","Paid"),IF(E160="","Enter due date",IF(E160&lt;'Data &amp; Targets'!$C$10,"Overdue",IF(E160&lt;'Data &amp; Targets'!$C$10+30,"Due next 30 days","Unpaid"))))))))</x:f>
      </x:c>
    </x:row>
    <x:row r="161" ht="22" customHeight="1">
      <x:c r="A161" s="107"/>
      <x:c r="B161" s="107"/>
      <x:c r="C161" s="107"/>
      <x:c r="D161" s="107"/>
      <x:c r="E161" s="111"/>
      <x:c r="F161" s="109"/>
      <x:c r="G161" s="107"/>
      <x:c r="H161" s="111"/>
      <x:c r="I161" s="107"/>
      <x:c r="J161" t="str">
        <x:f>IF(COUNTA(A161:I161)=0,"",IF(OR(A161="",B161="",C161="",F161="",G161=""),"Complete entry",IF(F161&lt;=0,"Check amount",IF(G161="Cancelled","Cancelled",IF(G161="Paid",IF(H161="","Enter paid date","Paid"),IF(E161="","Enter due date",IF(E161&lt;'Data &amp; Targets'!$C$10,"Overdue",IF(E161&lt;'Data &amp; Targets'!$C$10+30,"Due next 30 days","Unpaid"))))))))</x:f>
      </x:c>
    </x:row>
    <x:row r="162" ht="22" customHeight="1">
      <x:c r="A162" s="107"/>
      <x:c r="B162" s="107"/>
      <x:c r="C162" s="107"/>
      <x:c r="D162" s="107"/>
      <x:c r="E162" s="111"/>
      <x:c r="F162" s="109"/>
      <x:c r="G162" s="107"/>
      <x:c r="H162" s="111"/>
      <x:c r="I162" s="107"/>
      <x:c r="J162" t="str">
        <x:f>IF(COUNTA(A162:I162)=0,"",IF(OR(A162="",B162="",C162="",F162="",G162=""),"Complete entry",IF(F162&lt;=0,"Check amount",IF(G162="Cancelled","Cancelled",IF(G162="Paid",IF(H162="","Enter paid date","Paid"),IF(E162="","Enter due date",IF(E162&lt;'Data &amp; Targets'!$C$10,"Overdue",IF(E162&lt;'Data &amp; Targets'!$C$10+30,"Due next 30 days","Unpaid"))))))))</x:f>
      </x:c>
    </x:row>
    <x:row r="163" ht="22" customHeight="1">
      <x:c r="A163" s="107"/>
      <x:c r="B163" s="107"/>
      <x:c r="C163" s="107"/>
      <x:c r="D163" s="107"/>
      <x:c r="E163" s="111"/>
      <x:c r="F163" s="109"/>
      <x:c r="G163" s="107"/>
      <x:c r="H163" s="111"/>
      <x:c r="I163" s="107"/>
      <x:c r="J163" t="str">
        <x:f>IF(COUNTA(A163:I163)=0,"",IF(OR(A163="",B163="",C163="",F163="",G163=""),"Complete entry",IF(F163&lt;=0,"Check amount",IF(G163="Cancelled","Cancelled",IF(G163="Paid",IF(H163="","Enter paid date","Paid"),IF(E163="","Enter due date",IF(E163&lt;'Data &amp; Targets'!$C$10,"Overdue",IF(E163&lt;'Data &amp; Targets'!$C$10+30,"Due next 30 days","Unpaid"))))))))</x:f>
      </x:c>
    </x:row>
    <x:row r="164" ht="22" customHeight="1">
      <x:c r="A164" s="107"/>
      <x:c r="B164" s="107"/>
      <x:c r="C164" s="107"/>
      <x:c r="D164" s="107"/>
      <x:c r="E164" s="111"/>
      <x:c r="F164" s="109"/>
      <x:c r="G164" s="107"/>
      <x:c r="H164" s="111"/>
      <x:c r="I164" s="107"/>
      <x:c r="J164" t="str">
        <x:f>IF(COUNTA(A164:I164)=0,"",IF(OR(A164="",B164="",C164="",F164="",G164=""),"Complete entry",IF(F164&lt;=0,"Check amount",IF(G164="Cancelled","Cancelled",IF(G164="Paid",IF(H164="","Enter paid date","Paid"),IF(E164="","Enter due date",IF(E164&lt;'Data &amp; Targets'!$C$10,"Overdue",IF(E164&lt;'Data &amp; Targets'!$C$10+30,"Due next 30 days","Unpaid"))))))))</x:f>
      </x:c>
    </x:row>
    <x:row r="165" ht="22" customHeight="1">
      <x:c r="A165" s="107"/>
      <x:c r="B165" s="107"/>
      <x:c r="C165" s="107"/>
      <x:c r="D165" s="107"/>
      <x:c r="E165" s="111"/>
      <x:c r="F165" s="109"/>
      <x:c r="G165" s="107"/>
      <x:c r="H165" s="111"/>
      <x:c r="I165" s="107"/>
      <x:c r="J165" t="str">
        <x:f>IF(COUNTA(A165:I165)=0,"",IF(OR(A165="",B165="",C165="",F165="",G165=""),"Complete entry",IF(F165&lt;=0,"Check amount",IF(G165="Cancelled","Cancelled",IF(G165="Paid",IF(H165="","Enter paid date","Paid"),IF(E165="","Enter due date",IF(E165&lt;'Data &amp; Targets'!$C$10,"Overdue",IF(E165&lt;'Data &amp; Targets'!$C$10+30,"Due next 30 days","Unpaid"))))))))</x:f>
      </x:c>
    </x:row>
    <x:row r="166" ht="22" customHeight="1">
      <x:c r="A166" s="107"/>
      <x:c r="B166" s="107"/>
      <x:c r="C166" s="107"/>
      <x:c r="D166" s="107"/>
      <x:c r="E166" s="111"/>
      <x:c r="F166" s="109"/>
      <x:c r="G166" s="107"/>
      <x:c r="H166" s="111"/>
      <x:c r="I166" s="107"/>
      <x:c r="J166" t="str">
        <x:f>IF(COUNTA(A166:I166)=0,"",IF(OR(A166="",B166="",C166="",F166="",G166=""),"Complete entry",IF(F166&lt;=0,"Check amount",IF(G166="Cancelled","Cancelled",IF(G166="Paid",IF(H166="","Enter paid date","Paid"),IF(E166="","Enter due date",IF(E166&lt;'Data &amp; Targets'!$C$10,"Overdue",IF(E166&lt;'Data &amp; Targets'!$C$10+30,"Due next 30 days","Unpaid"))))))))</x:f>
      </x:c>
    </x:row>
    <x:row r="167" ht="22" customHeight="1">
      <x:c r="A167" s="107"/>
      <x:c r="B167" s="107"/>
      <x:c r="C167" s="107"/>
      <x:c r="D167" s="107"/>
      <x:c r="E167" s="111"/>
      <x:c r="F167" s="109"/>
      <x:c r="G167" s="107"/>
      <x:c r="H167" s="111"/>
      <x:c r="I167" s="107"/>
      <x:c r="J167" t="str">
        <x:f>IF(COUNTA(A167:I167)=0,"",IF(OR(A167="",B167="",C167="",F167="",G167=""),"Complete entry",IF(F167&lt;=0,"Check amount",IF(G167="Cancelled","Cancelled",IF(G167="Paid",IF(H167="","Enter paid date","Paid"),IF(E167="","Enter due date",IF(E167&lt;'Data &amp; Targets'!$C$10,"Overdue",IF(E167&lt;'Data &amp; Targets'!$C$10+30,"Due next 30 days","Unpaid"))))))))</x:f>
      </x:c>
    </x:row>
    <x:row r="168" ht="22" customHeight="1">
      <x:c r="A168" s="107"/>
      <x:c r="B168" s="107"/>
      <x:c r="C168" s="107"/>
      <x:c r="D168" s="107"/>
      <x:c r="E168" s="111"/>
      <x:c r="F168" s="109"/>
      <x:c r="G168" s="107"/>
      <x:c r="H168" s="111"/>
      <x:c r="I168" s="107"/>
      <x:c r="J168" t="str">
        <x:f>IF(COUNTA(A168:I168)=0,"",IF(OR(A168="",B168="",C168="",F168="",G168=""),"Complete entry",IF(F168&lt;=0,"Check amount",IF(G168="Cancelled","Cancelled",IF(G168="Paid",IF(H168="","Enter paid date","Paid"),IF(E168="","Enter due date",IF(E168&lt;'Data &amp; Targets'!$C$10,"Overdue",IF(E168&lt;'Data &amp; Targets'!$C$10+30,"Due next 30 days","Unpaid"))))))))</x:f>
      </x:c>
    </x:row>
    <x:row r="169" ht="22" customHeight="1">
      <x:c r="A169" s="107"/>
      <x:c r="B169" s="107"/>
      <x:c r="C169" s="107"/>
      <x:c r="D169" s="107"/>
      <x:c r="E169" s="111"/>
      <x:c r="F169" s="109"/>
      <x:c r="G169" s="107"/>
      <x:c r="H169" s="111"/>
      <x:c r="I169" s="107"/>
      <x:c r="J169" t="str">
        <x:f>IF(COUNTA(A169:I169)=0,"",IF(OR(A169="",B169="",C169="",F169="",G169=""),"Complete entry",IF(F169&lt;=0,"Check amount",IF(G169="Cancelled","Cancelled",IF(G169="Paid",IF(H169="","Enter paid date","Paid"),IF(E169="","Enter due date",IF(E169&lt;'Data &amp; Targets'!$C$10,"Overdue",IF(E169&lt;'Data &amp; Targets'!$C$10+30,"Due next 30 days","Unpaid"))))))))</x:f>
      </x:c>
    </x:row>
    <x:row r="170" ht="22" customHeight="1">
      <x:c r="A170" s="107"/>
      <x:c r="B170" s="107"/>
      <x:c r="C170" s="107"/>
      <x:c r="D170" s="107"/>
      <x:c r="E170" s="111"/>
      <x:c r="F170" s="109"/>
      <x:c r="G170" s="107"/>
      <x:c r="H170" s="111"/>
      <x:c r="I170" s="107"/>
      <x:c r="J170" t="str">
        <x:f>IF(COUNTA(A170:I170)=0,"",IF(OR(A170="",B170="",C170="",F170="",G170=""),"Complete entry",IF(F170&lt;=0,"Check amount",IF(G170="Cancelled","Cancelled",IF(G170="Paid",IF(H170="","Enter paid date","Paid"),IF(E170="","Enter due date",IF(E170&lt;'Data &amp; Targets'!$C$10,"Overdue",IF(E170&lt;'Data &amp; Targets'!$C$10+30,"Due next 30 days","Unpaid"))))))))</x:f>
      </x:c>
    </x:row>
    <x:row r="171" ht="22" customHeight="1">
      <x:c r="A171" s="107"/>
      <x:c r="B171" s="107"/>
      <x:c r="C171" s="107"/>
      <x:c r="D171" s="107"/>
      <x:c r="E171" s="111"/>
      <x:c r="F171" s="109"/>
      <x:c r="G171" s="107"/>
      <x:c r="H171" s="111"/>
      <x:c r="I171" s="107"/>
      <x:c r="J171" t="str">
        <x:f>IF(COUNTA(A171:I171)=0,"",IF(OR(A171="",B171="",C171="",F171="",G171=""),"Complete entry",IF(F171&lt;=0,"Check amount",IF(G171="Cancelled","Cancelled",IF(G171="Paid",IF(H171="","Enter paid date","Paid"),IF(E171="","Enter due date",IF(E171&lt;'Data &amp; Targets'!$C$10,"Overdue",IF(E171&lt;'Data &amp; Targets'!$C$10+30,"Due next 30 days","Unpaid"))))))))</x:f>
      </x:c>
    </x:row>
    <x:row r="172" ht="22" customHeight="1">
      <x:c r="A172" s="107"/>
      <x:c r="B172" s="107"/>
      <x:c r="C172" s="107"/>
      <x:c r="D172" s="107"/>
      <x:c r="E172" s="111"/>
      <x:c r="F172" s="109"/>
      <x:c r="G172" s="107"/>
      <x:c r="H172" s="111"/>
      <x:c r="I172" s="107"/>
      <x:c r="J172" t="str">
        <x:f>IF(COUNTA(A172:I172)=0,"",IF(OR(A172="",B172="",C172="",F172="",G172=""),"Complete entry",IF(F172&lt;=0,"Check amount",IF(G172="Cancelled","Cancelled",IF(G172="Paid",IF(H172="","Enter paid date","Paid"),IF(E172="","Enter due date",IF(E172&lt;'Data &amp; Targets'!$C$10,"Overdue",IF(E172&lt;'Data &amp; Targets'!$C$10+30,"Due next 30 days","Unpaid"))))))))</x:f>
      </x:c>
    </x:row>
    <x:row r="173" ht="22" customHeight="1">
      <x:c r="A173" s="107"/>
      <x:c r="B173" s="107"/>
      <x:c r="C173" s="107"/>
      <x:c r="D173" s="107"/>
      <x:c r="E173" s="111"/>
      <x:c r="F173" s="109"/>
      <x:c r="G173" s="107"/>
      <x:c r="H173" s="111"/>
      <x:c r="I173" s="107"/>
      <x:c r="J173" t="str">
        <x:f>IF(COUNTA(A173:I173)=0,"",IF(OR(A173="",B173="",C173="",F173="",G173=""),"Complete entry",IF(F173&lt;=0,"Check amount",IF(G173="Cancelled","Cancelled",IF(G173="Paid",IF(H173="","Enter paid date","Paid"),IF(E173="","Enter due date",IF(E173&lt;'Data &amp; Targets'!$C$10,"Overdue",IF(E173&lt;'Data &amp; Targets'!$C$10+30,"Due next 30 days","Unpaid"))))))))</x:f>
      </x:c>
    </x:row>
    <x:row r="174" ht="22" customHeight="1">
      <x:c r="A174" s="107"/>
      <x:c r="B174" s="107"/>
      <x:c r="C174" s="107"/>
      <x:c r="D174" s="107"/>
      <x:c r="E174" s="111"/>
      <x:c r="F174" s="109"/>
      <x:c r="G174" s="107"/>
      <x:c r="H174" s="111"/>
      <x:c r="I174" s="107"/>
      <x:c r="J174" t="str">
        <x:f>IF(COUNTA(A174:I174)=0,"",IF(OR(A174="",B174="",C174="",F174="",G174=""),"Complete entry",IF(F174&lt;=0,"Check amount",IF(G174="Cancelled","Cancelled",IF(G174="Paid",IF(H174="","Enter paid date","Paid"),IF(E174="","Enter due date",IF(E174&lt;'Data &amp; Targets'!$C$10,"Overdue",IF(E174&lt;'Data &amp; Targets'!$C$10+30,"Due next 30 days","Unpaid"))))))))</x:f>
      </x:c>
    </x:row>
    <x:row r="175" ht="22" customHeight="1">
      <x:c r="A175" s="107"/>
      <x:c r="B175" s="107"/>
      <x:c r="C175" s="107"/>
      <x:c r="D175" s="107"/>
      <x:c r="E175" s="111"/>
      <x:c r="F175" s="109"/>
      <x:c r="G175" s="107"/>
      <x:c r="H175" s="111"/>
      <x:c r="I175" s="107"/>
      <x:c r="J175" t="str">
        <x:f>IF(COUNTA(A175:I175)=0,"",IF(OR(A175="",B175="",C175="",F175="",G175=""),"Complete entry",IF(F175&lt;=0,"Check amount",IF(G175="Cancelled","Cancelled",IF(G175="Paid",IF(H175="","Enter paid date","Paid"),IF(E175="","Enter due date",IF(E175&lt;'Data &amp; Targets'!$C$10,"Overdue",IF(E175&lt;'Data &amp; Targets'!$C$10+30,"Due next 30 days","Unpaid"))))))))</x:f>
      </x:c>
    </x:row>
    <x:row r="176" ht="22" customHeight="1">
      <x:c r="A176" s="107"/>
      <x:c r="B176" s="107"/>
      <x:c r="C176" s="107"/>
      <x:c r="D176" s="107"/>
      <x:c r="E176" s="111"/>
      <x:c r="F176" s="109"/>
      <x:c r="G176" s="107"/>
      <x:c r="H176" s="111"/>
      <x:c r="I176" s="107"/>
      <x:c r="J176" t="str">
        <x:f>IF(COUNTA(A176:I176)=0,"",IF(OR(A176="",B176="",C176="",F176="",G176=""),"Complete entry",IF(F176&lt;=0,"Check amount",IF(G176="Cancelled","Cancelled",IF(G176="Paid",IF(H176="","Enter paid date","Paid"),IF(E176="","Enter due date",IF(E176&lt;'Data &amp; Targets'!$C$10,"Overdue",IF(E176&lt;'Data &amp; Targets'!$C$10+30,"Due next 30 days","Unpaid"))))))))</x:f>
      </x:c>
    </x:row>
    <x:row r="177" ht="22" customHeight="1">
      <x:c r="A177" s="107"/>
      <x:c r="B177" s="107"/>
      <x:c r="C177" s="107"/>
      <x:c r="D177" s="107"/>
      <x:c r="E177" s="111"/>
      <x:c r="F177" s="109"/>
      <x:c r="G177" s="107"/>
      <x:c r="H177" s="111"/>
      <x:c r="I177" s="107"/>
      <x:c r="J177" t="str">
        <x:f>IF(COUNTA(A177:I177)=0,"",IF(OR(A177="",B177="",C177="",F177="",G177=""),"Complete entry",IF(F177&lt;=0,"Check amount",IF(G177="Cancelled","Cancelled",IF(G177="Paid",IF(H177="","Enter paid date","Paid"),IF(E177="","Enter due date",IF(E177&lt;'Data &amp; Targets'!$C$10,"Overdue",IF(E177&lt;'Data &amp; Targets'!$C$10+30,"Due next 30 days","Unpaid"))))))))</x:f>
      </x:c>
    </x:row>
    <x:row r="178" ht="22" customHeight="1">
      <x:c r="A178" s="107"/>
      <x:c r="B178" s="107"/>
      <x:c r="C178" s="107"/>
      <x:c r="D178" s="107"/>
      <x:c r="E178" s="111"/>
      <x:c r="F178" s="109"/>
      <x:c r="G178" s="107"/>
      <x:c r="H178" s="111"/>
      <x:c r="I178" s="107"/>
      <x:c r="J178" t="str">
        <x:f>IF(COUNTA(A178:I178)=0,"",IF(OR(A178="",B178="",C178="",F178="",G178=""),"Complete entry",IF(F178&lt;=0,"Check amount",IF(G178="Cancelled","Cancelled",IF(G178="Paid",IF(H178="","Enter paid date","Paid"),IF(E178="","Enter due date",IF(E178&lt;'Data &amp; Targets'!$C$10,"Overdue",IF(E178&lt;'Data &amp; Targets'!$C$10+30,"Due next 30 days","Unpaid"))))))))</x:f>
      </x:c>
    </x:row>
    <x:row r="179" ht="22" customHeight="1">
      <x:c r="A179" s="107"/>
      <x:c r="B179" s="107"/>
      <x:c r="C179" s="107"/>
      <x:c r="D179" s="107"/>
      <x:c r="E179" s="111"/>
      <x:c r="F179" s="109"/>
      <x:c r="G179" s="107"/>
      <x:c r="H179" s="111"/>
      <x:c r="I179" s="107"/>
      <x:c r="J179" t="str">
        <x:f>IF(COUNTA(A179:I179)=0,"",IF(OR(A179="",B179="",C179="",F179="",G179=""),"Complete entry",IF(F179&lt;=0,"Check amount",IF(G179="Cancelled","Cancelled",IF(G179="Paid",IF(H179="","Enter paid date","Paid"),IF(E179="","Enter due date",IF(E179&lt;'Data &amp; Targets'!$C$10,"Overdue",IF(E179&lt;'Data &amp; Targets'!$C$10+30,"Due next 30 days","Unpaid"))))))))</x:f>
      </x:c>
    </x:row>
    <x:row r="180" ht="22" customHeight="1">
      <x:c r="A180" s="107"/>
      <x:c r="B180" s="107"/>
      <x:c r="C180" s="107"/>
      <x:c r="D180" s="107"/>
      <x:c r="E180" s="111"/>
      <x:c r="F180" s="109"/>
      <x:c r="G180" s="107"/>
      <x:c r="H180" s="111"/>
      <x:c r="I180" s="107"/>
      <x:c r="J180" t="str">
        <x:f>IF(COUNTA(A180:I180)=0,"",IF(OR(A180="",B180="",C180="",F180="",G180=""),"Complete entry",IF(F180&lt;=0,"Check amount",IF(G180="Cancelled","Cancelled",IF(G180="Paid",IF(H180="","Enter paid date","Paid"),IF(E180="","Enter due date",IF(E180&lt;'Data &amp; Targets'!$C$10,"Overdue",IF(E180&lt;'Data &amp; Targets'!$C$10+30,"Due next 30 days","Unpaid"))))))))</x:f>
      </x:c>
    </x:row>
    <x:row r="181" ht="22" customHeight="1">
      <x:c r="A181" s="107"/>
      <x:c r="B181" s="107"/>
      <x:c r="C181" s="107"/>
      <x:c r="D181" s="107"/>
      <x:c r="E181" s="111"/>
      <x:c r="F181" s="109"/>
      <x:c r="G181" s="107"/>
      <x:c r="H181" s="111"/>
      <x:c r="I181" s="107"/>
      <x:c r="J181" t="str">
        <x:f>IF(COUNTA(A181:I181)=0,"",IF(OR(A181="",B181="",C181="",F181="",G181=""),"Complete entry",IF(F181&lt;=0,"Check amount",IF(G181="Cancelled","Cancelled",IF(G181="Paid",IF(H181="","Enter paid date","Paid"),IF(E181="","Enter due date",IF(E181&lt;'Data &amp; Targets'!$C$10,"Overdue",IF(E181&lt;'Data &amp; Targets'!$C$10+30,"Due next 30 days","Unpaid"))))))))</x:f>
      </x:c>
    </x:row>
    <x:row r="182" ht="22" customHeight="1">
      <x:c r="A182" s="107"/>
      <x:c r="B182" s="107"/>
      <x:c r="C182" s="107"/>
      <x:c r="D182" s="107"/>
      <x:c r="E182" s="111"/>
      <x:c r="F182" s="109"/>
      <x:c r="G182" s="107"/>
      <x:c r="H182" s="111"/>
      <x:c r="I182" s="107"/>
      <x:c r="J182" t="str">
        <x:f>IF(COUNTA(A182:I182)=0,"",IF(OR(A182="",B182="",C182="",F182="",G182=""),"Complete entry",IF(F182&lt;=0,"Check amount",IF(G182="Cancelled","Cancelled",IF(G182="Paid",IF(H182="","Enter paid date","Paid"),IF(E182="","Enter due date",IF(E182&lt;'Data &amp; Targets'!$C$10,"Overdue",IF(E182&lt;'Data &amp; Targets'!$C$10+30,"Due next 30 days","Unpaid"))))))))</x:f>
      </x:c>
    </x:row>
    <x:row r="183" ht="22" customHeight="1">
      <x:c r="A183" s="107"/>
      <x:c r="B183" s="107"/>
      <x:c r="C183" s="107"/>
      <x:c r="D183" s="107"/>
      <x:c r="E183" s="111"/>
      <x:c r="F183" s="109"/>
      <x:c r="G183" s="107"/>
      <x:c r="H183" s="111"/>
      <x:c r="I183" s="107"/>
      <x:c r="J183" t="str">
        <x:f>IF(COUNTA(A183:I183)=0,"",IF(OR(A183="",B183="",C183="",F183="",G183=""),"Complete entry",IF(F183&lt;=0,"Check amount",IF(G183="Cancelled","Cancelled",IF(G183="Paid",IF(H183="","Enter paid date","Paid"),IF(E183="","Enter due date",IF(E183&lt;'Data &amp; Targets'!$C$10,"Overdue",IF(E183&lt;'Data &amp; Targets'!$C$10+30,"Due next 30 days","Unpaid"))))))))</x:f>
      </x:c>
    </x:row>
    <x:row r="184" ht="22" customHeight="1">
      <x:c r="A184" s="107"/>
      <x:c r="B184" s="107"/>
      <x:c r="C184" s="107"/>
      <x:c r="D184" s="107"/>
      <x:c r="E184" s="111"/>
      <x:c r="F184" s="109"/>
      <x:c r="G184" s="107"/>
      <x:c r="H184" s="111"/>
      <x:c r="I184" s="107"/>
      <x:c r="J184" t="str">
        <x:f>IF(COUNTA(A184:I184)=0,"",IF(OR(A184="",B184="",C184="",F184="",G184=""),"Complete entry",IF(F184&lt;=0,"Check amount",IF(G184="Cancelled","Cancelled",IF(G184="Paid",IF(H184="","Enter paid date","Paid"),IF(E184="","Enter due date",IF(E184&lt;'Data &amp; Targets'!$C$10,"Overdue",IF(E184&lt;'Data &amp; Targets'!$C$10+30,"Due next 30 days","Unpaid"))))))))</x:f>
      </x:c>
    </x:row>
    <x:row r="185" ht="22" customHeight="1">
      <x:c r="A185" s="107"/>
      <x:c r="B185" s="107"/>
      <x:c r="C185" s="107"/>
      <x:c r="D185" s="107"/>
      <x:c r="E185" s="111"/>
      <x:c r="F185" s="109"/>
      <x:c r="G185" s="107"/>
      <x:c r="H185" s="111"/>
      <x:c r="I185" s="107"/>
      <x:c r="J185" t="str">
        <x:f>IF(COUNTA(A185:I185)=0,"",IF(OR(A185="",B185="",C185="",F185="",G185=""),"Complete entry",IF(F185&lt;=0,"Check amount",IF(G185="Cancelled","Cancelled",IF(G185="Paid",IF(H185="","Enter paid date","Paid"),IF(E185="","Enter due date",IF(E185&lt;'Data &amp; Targets'!$C$10,"Overdue",IF(E185&lt;'Data &amp; Targets'!$C$10+30,"Due next 30 days","Unpaid"))))))))</x:f>
      </x:c>
    </x:row>
    <x:row r="186" ht="22" customHeight="1">
      <x:c r="A186" s="107"/>
      <x:c r="B186" s="107"/>
      <x:c r="C186" s="107"/>
      <x:c r="D186" s="107"/>
      <x:c r="E186" s="111"/>
      <x:c r="F186" s="109"/>
      <x:c r="G186" s="107"/>
      <x:c r="H186" s="111"/>
      <x:c r="I186" s="107"/>
      <x:c r="J186" t="str">
        <x:f>IF(COUNTA(A186:I186)=0,"",IF(OR(A186="",B186="",C186="",F186="",G186=""),"Complete entry",IF(F186&lt;=0,"Check amount",IF(G186="Cancelled","Cancelled",IF(G186="Paid",IF(H186="","Enter paid date","Paid"),IF(E186="","Enter due date",IF(E186&lt;'Data &amp; Targets'!$C$10,"Overdue",IF(E186&lt;'Data &amp; Targets'!$C$10+30,"Due next 30 days","Unpaid"))))))))</x:f>
      </x:c>
    </x:row>
    <x:row r="187" ht="22" customHeight="1">
      <x:c r="A187" s="107"/>
      <x:c r="B187" s="107"/>
      <x:c r="C187" s="107"/>
      <x:c r="D187" s="107"/>
      <x:c r="E187" s="111"/>
      <x:c r="F187" s="109"/>
      <x:c r="G187" s="107"/>
      <x:c r="H187" s="111"/>
      <x:c r="I187" s="107"/>
      <x:c r="J187" t="str">
        <x:f>IF(COUNTA(A187:I187)=0,"",IF(OR(A187="",B187="",C187="",F187="",G187=""),"Complete entry",IF(F187&lt;=0,"Check amount",IF(G187="Cancelled","Cancelled",IF(G187="Paid",IF(H187="","Enter paid date","Paid"),IF(E187="","Enter due date",IF(E187&lt;'Data &amp; Targets'!$C$10,"Overdue",IF(E187&lt;'Data &amp; Targets'!$C$10+30,"Due next 30 days","Unpaid"))))))))</x:f>
      </x:c>
    </x:row>
    <x:row r="188" ht="22" customHeight="1">
      <x:c r="A188" s="107"/>
      <x:c r="B188" s="107"/>
      <x:c r="C188" s="107"/>
      <x:c r="D188" s="107"/>
      <x:c r="E188" s="111"/>
      <x:c r="F188" s="109"/>
      <x:c r="G188" s="107"/>
      <x:c r="H188" s="111"/>
      <x:c r="I188" s="107"/>
      <x:c r="J188" t="str">
        <x:f>IF(COUNTA(A188:I188)=0,"",IF(OR(A188="",B188="",C188="",F188="",G188=""),"Complete entry",IF(F188&lt;=0,"Check amount",IF(G188="Cancelled","Cancelled",IF(G188="Paid",IF(H188="","Enter paid date","Paid"),IF(E188="","Enter due date",IF(E188&lt;'Data &amp; Targets'!$C$10,"Overdue",IF(E188&lt;'Data &amp; Targets'!$C$10+30,"Due next 30 days","Unpaid"))))))))</x:f>
      </x:c>
    </x:row>
    <x:row r="189" ht="22" customHeight="1">
      <x:c r="A189" s="107"/>
      <x:c r="B189" s="107"/>
      <x:c r="C189" s="107"/>
      <x:c r="D189" s="107"/>
      <x:c r="E189" s="111"/>
      <x:c r="F189" s="109"/>
      <x:c r="G189" s="107"/>
      <x:c r="H189" s="111"/>
      <x:c r="I189" s="107"/>
      <x:c r="J189" t="str">
        <x:f>IF(COUNTA(A189:I189)=0,"",IF(OR(A189="",B189="",C189="",F189="",G189=""),"Complete entry",IF(F189&lt;=0,"Check amount",IF(G189="Cancelled","Cancelled",IF(G189="Paid",IF(H189="","Enter paid date","Paid"),IF(E189="","Enter due date",IF(E189&lt;'Data &amp; Targets'!$C$10,"Overdue",IF(E189&lt;'Data &amp; Targets'!$C$10+30,"Due next 30 days","Unpaid"))))))))</x:f>
      </x:c>
    </x:row>
    <x:row r="190" ht="22" customHeight="1">
      <x:c r="A190" s="107"/>
      <x:c r="B190" s="107"/>
      <x:c r="C190" s="107"/>
      <x:c r="D190" s="107"/>
      <x:c r="E190" s="111"/>
      <x:c r="F190" s="109"/>
      <x:c r="G190" s="107"/>
      <x:c r="H190" s="111"/>
      <x:c r="I190" s="107"/>
      <x:c r="J190" t="str">
        <x:f>IF(COUNTA(A190:I190)=0,"",IF(OR(A190="",B190="",C190="",F190="",G190=""),"Complete entry",IF(F190&lt;=0,"Check amount",IF(G190="Cancelled","Cancelled",IF(G190="Paid",IF(H190="","Enter paid date","Paid"),IF(E190="","Enter due date",IF(E190&lt;'Data &amp; Targets'!$C$10,"Overdue",IF(E190&lt;'Data &amp; Targets'!$C$10+30,"Due next 30 days","Unpaid"))))))))</x:f>
      </x:c>
    </x:row>
    <x:row r="191" ht="22" customHeight="1">
      <x:c r="A191" s="107"/>
      <x:c r="B191" s="107"/>
      <x:c r="C191" s="107"/>
      <x:c r="D191" s="107"/>
      <x:c r="E191" s="111"/>
      <x:c r="F191" s="109"/>
      <x:c r="G191" s="107"/>
      <x:c r="H191" s="111"/>
      <x:c r="I191" s="107"/>
      <x:c r="J191" t="str">
        <x:f>IF(COUNTA(A191:I191)=0,"",IF(OR(A191="",B191="",C191="",F191="",G191=""),"Complete entry",IF(F191&lt;=0,"Check amount",IF(G191="Cancelled","Cancelled",IF(G191="Paid",IF(H191="","Enter paid date","Paid"),IF(E191="","Enter due date",IF(E191&lt;'Data &amp; Targets'!$C$10,"Overdue",IF(E191&lt;'Data &amp; Targets'!$C$10+30,"Due next 30 days","Unpaid"))))))))</x:f>
      </x:c>
    </x:row>
    <x:row r="192" ht="22" customHeight="1">
      <x:c r="A192" s="107"/>
      <x:c r="B192" s="107"/>
      <x:c r="C192" s="107"/>
      <x:c r="D192" s="107"/>
      <x:c r="E192" s="111"/>
      <x:c r="F192" s="109"/>
      <x:c r="G192" s="107"/>
      <x:c r="H192" s="111"/>
      <x:c r="I192" s="107"/>
      <x:c r="J192" t="str">
        <x:f>IF(COUNTA(A192:I192)=0,"",IF(OR(A192="",B192="",C192="",F192="",G192=""),"Complete entry",IF(F192&lt;=0,"Check amount",IF(G192="Cancelled","Cancelled",IF(G192="Paid",IF(H192="","Enter paid date","Paid"),IF(E192="","Enter due date",IF(E192&lt;'Data &amp; Targets'!$C$10,"Overdue",IF(E192&lt;'Data &amp; Targets'!$C$10+30,"Due next 30 days","Unpaid"))))))))</x:f>
      </x:c>
    </x:row>
    <x:row r="193" ht="22" customHeight="1">
      <x:c r="A193" s="107"/>
      <x:c r="B193" s="107"/>
      <x:c r="C193" s="107"/>
      <x:c r="D193" s="107"/>
      <x:c r="E193" s="111"/>
      <x:c r="F193" s="109"/>
      <x:c r="G193" s="107"/>
      <x:c r="H193" s="111"/>
      <x:c r="I193" s="107"/>
      <x:c r="J193" t="str">
        <x:f>IF(COUNTA(A193:I193)=0,"",IF(OR(A193="",B193="",C193="",F193="",G193=""),"Complete entry",IF(F193&lt;=0,"Check amount",IF(G193="Cancelled","Cancelled",IF(G193="Paid",IF(H193="","Enter paid date","Paid"),IF(E193="","Enter due date",IF(E193&lt;'Data &amp; Targets'!$C$10,"Overdue",IF(E193&lt;'Data &amp; Targets'!$C$10+30,"Due next 30 days","Unpaid"))))))))</x:f>
      </x:c>
    </x:row>
    <x:row r="194" ht="22" customHeight="1">
      <x:c r="A194" s="107"/>
      <x:c r="B194" s="107"/>
      <x:c r="C194" s="107"/>
      <x:c r="D194" s="107"/>
      <x:c r="E194" s="111"/>
      <x:c r="F194" s="109"/>
      <x:c r="G194" s="107"/>
      <x:c r="H194" s="111"/>
      <x:c r="I194" s="107"/>
      <x:c r="J194" t="str">
        <x:f>IF(COUNTA(A194:I194)=0,"",IF(OR(A194="",B194="",C194="",F194="",G194=""),"Complete entry",IF(F194&lt;=0,"Check amount",IF(G194="Cancelled","Cancelled",IF(G194="Paid",IF(H194="","Enter paid date","Paid"),IF(E194="","Enter due date",IF(E194&lt;'Data &amp; Targets'!$C$10,"Overdue",IF(E194&lt;'Data &amp; Targets'!$C$10+30,"Due next 30 days","Unpaid"))))))))</x:f>
      </x:c>
    </x:row>
    <x:row r="195" ht="22" customHeight="1">
      <x:c r="A195" s="107"/>
      <x:c r="B195" s="107"/>
      <x:c r="C195" s="107"/>
      <x:c r="D195" s="107"/>
      <x:c r="E195" s="111"/>
      <x:c r="F195" s="109"/>
      <x:c r="G195" s="107"/>
      <x:c r="H195" s="111"/>
      <x:c r="I195" s="107"/>
      <x:c r="J195" t="str">
        <x:f>IF(COUNTA(A195:I195)=0,"",IF(OR(A195="",B195="",C195="",F195="",G195=""),"Complete entry",IF(F195&lt;=0,"Check amount",IF(G195="Cancelled","Cancelled",IF(G195="Paid",IF(H195="","Enter paid date","Paid"),IF(E195="","Enter due date",IF(E195&lt;'Data &amp; Targets'!$C$10,"Overdue",IF(E195&lt;'Data &amp; Targets'!$C$10+30,"Due next 30 days","Unpaid"))))))))</x:f>
      </x:c>
    </x:row>
    <x:row r="196" ht="22" customHeight="1">
      <x:c r="A196" s="107"/>
      <x:c r="B196" s="107"/>
      <x:c r="C196" s="107"/>
      <x:c r="D196" s="107"/>
      <x:c r="E196" s="111"/>
      <x:c r="F196" s="109"/>
      <x:c r="G196" s="107"/>
      <x:c r="H196" s="111"/>
      <x:c r="I196" s="107"/>
      <x:c r="J196" t="str">
        <x:f>IF(COUNTA(A196:I196)=0,"",IF(OR(A196="",B196="",C196="",F196="",G196=""),"Complete entry",IF(F196&lt;=0,"Check amount",IF(G196="Cancelled","Cancelled",IF(G196="Paid",IF(H196="","Enter paid date","Paid"),IF(E196="","Enter due date",IF(E196&lt;'Data &amp; Targets'!$C$10,"Overdue",IF(E196&lt;'Data &amp; Targets'!$C$10+30,"Due next 30 days","Unpaid"))))))))</x:f>
      </x:c>
    </x:row>
    <x:row r="197" ht="22" customHeight="1">
      <x:c r="A197" s="107"/>
      <x:c r="B197" s="107"/>
      <x:c r="C197" s="107"/>
      <x:c r="D197" s="107"/>
      <x:c r="E197" s="111"/>
      <x:c r="F197" s="109"/>
      <x:c r="G197" s="107"/>
      <x:c r="H197" s="111"/>
      <x:c r="I197" s="107"/>
      <x:c r="J197" t="str">
        <x:f>IF(COUNTA(A197:I197)=0,"",IF(OR(A197="",B197="",C197="",F197="",G197=""),"Complete entry",IF(F197&lt;=0,"Check amount",IF(G197="Cancelled","Cancelled",IF(G197="Paid",IF(H197="","Enter paid date","Paid"),IF(E197="","Enter due date",IF(E197&lt;'Data &amp; Targets'!$C$10,"Overdue",IF(E197&lt;'Data &amp; Targets'!$C$10+30,"Due next 30 days","Unpaid"))))))))</x:f>
      </x:c>
    </x:row>
    <x:row r="198" ht="22" customHeight="1">
      <x:c r="A198" s="107"/>
      <x:c r="B198" s="107"/>
      <x:c r="C198" s="107"/>
      <x:c r="D198" s="107"/>
      <x:c r="E198" s="111"/>
      <x:c r="F198" s="109"/>
      <x:c r="G198" s="107"/>
      <x:c r="H198" s="111"/>
      <x:c r="I198" s="107"/>
      <x:c r="J198" t="str">
        <x:f>IF(COUNTA(A198:I198)=0,"",IF(OR(A198="",B198="",C198="",F198="",G198=""),"Complete entry",IF(F198&lt;=0,"Check amount",IF(G198="Cancelled","Cancelled",IF(G198="Paid",IF(H198="","Enter paid date","Paid"),IF(E198="","Enter due date",IF(E198&lt;'Data &amp; Targets'!$C$10,"Overdue",IF(E198&lt;'Data &amp; Targets'!$C$10+30,"Due next 30 days","Unpaid"))))))))</x:f>
      </x:c>
    </x:row>
    <x:row r="199" ht="22" customHeight="1">
      <x:c r="A199" s="107"/>
      <x:c r="B199" s="107"/>
      <x:c r="C199" s="107"/>
      <x:c r="D199" s="107"/>
      <x:c r="E199" s="111"/>
      <x:c r="F199" s="109"/>
      <x:c r="G199" s="107"/>
      <x:c r="H199" s="111"/>
      <x:c r="I199" s="107"/>
      <x:c r="J199" t="str">
        <x:f>IF(COUNTA(A199:I199)=0,"",IF(OR(A199="",B199="",C199="",F199="",G199=""),"Complete entry",IF(F199&lt;=0,"Check amount",IF(G199="Cancelled","Cancelled",IF(G199="Paid",IF(H199="","Enter paid date","Paid"),IF(E199="","Enter due date",IF(E199&lt;'Data &amp; Targets'!$C$10,"Overdue",IF(E199&lt;'Data &amp; Targets'!$C$10+30,"Due next 30 days","Unpaid"))))))))</x:f>
      </x:c>
    </x:row>
    <x:row r="200" ht="22" customHeight="1">
      <x:c r="A200" s="107"/>
      <x:c r="B200" s="107"/>
      <x:c r="C200" s="107"/>
      <x:c r="D200" s="107"/>
      <x:c r="E200" s="111"/>
      <x:c r="F200" s="109"/>
      <x:c r="G200" s="107"/>
      <x:c r="H200" s="111"/>
      <x:c r="I200" s="107"/>
      <x:c r="J200" t="str">
        <x:f>IF(COUNTA(A200:I200)=0,"",IF(OR(A200="",B200="",C200="",F200="",G200=""),"Complete entry",IF(F200&lt;=0,"Check amount",IF(G200="Cancelled","Cancelled",IF(G200="Paid",IF(H200="","Enter paid date","Paid"),IF(E200="","Enter due date",IF(E200&lt;'Data &amp; Targets'!$C$10,"Overdue",IF(E200&lt;'Data &amp; Targets'!$C$10+30,"Due next 30 days","Unpaid"))))))))</x:f>
      </x:c>
    </x:row>
    <x:row r="201" ht="22" customHeight="1">
      <x:c r="A201" s="107"/>
      <x:c r="B201" s="107"/>
      <x:c r="C201" s="107"/>
      <x:c r="D201" s="107"/>
      <x:c r="E201" s="111"/>
      <x:c r="F201" s="109"/>
      <x:c r="G201" s="107"/>
      <x:c r="H201" s="111"/>
      <x:c r="I201" s="107"/>
      <x:c r="J201" t="str">
        <x:f>IF(COUNTA(A201:I201)=0,"",IF(OR(A201="",B201="",C201="",F201="",G201=""),"Complete entry",IF(F201&lt;=0,"Check amount",IF(G201="Cancelled","Cancelled",IF(G201="Paid",IF(H201="","Enter paid date","Paid"),IF(E201="","Enter due date",IF(E201&lt;'Data &amp; Targets'!$C$10,"Overdue",IF(E201&lt;'Data &amp; Targets'!$C$10+30,"Due next 30 days","Unpaid"))))))))</x:f>
      </x:c>
    </x:row>
    <x:row r="202" ht="22" customHeight="1">
      <x:c r="A202" s="107"/>
      <x:c r="B202" s="107"/>
      <x:c r="C202" s="107"/>
      <x:c r="D202" s="107"/>
      <x:c r="E202" s="111"/>
      <x:c r="F202" s="109"/>
      <x:c r="G202" s="107"/>
      <x:c r="H202" s="111"/>
      <x:c r="I202" s="107"/>
      <x:c r="J202" t="str">
        <x:f>IF(COUNTA(A202:I202)=0,"",IF(OR(A202="",B202="",C202="",F202="",G202=""),"Complete entry",IF(F202&lt;=0,"Check amount",IF(G202="Cancelled","Cancelled",IF(G202="Paid",IF(H202="","Enter paid date","Paid"),IF(E202="","Enter due date",IF(E202&lt;'Data &amp; Targets'!$C$10,"Overdue",IF(E202&lt;'Data &amp; Targets'!$C$10+30,"Due next 30 days","Unpaid"))))))))</x:f>
      </x:c>
    </x:row>
    <x:row r="203" ht="22" customHeight="1">
      <x:c r="A203" s="107"/>
      <x:c r="B203" s="107"/>
      <x:c r="C203" s="107"/>
      <x:c r="D203" s="107"/>
      <x:c r="E203" s="111"/>
      <x:c r="F203" s="109"/>
      <x:c r="G203" s="107"/>
      <x:c r="H203" s="111"/>
      <x:c r="I203" s="107"/>
      <x:c r="J203" t="str">
        <x:f>IF(COUNTA(A203:I203)=0,"",IF(OR(A203="",B203="",C203="",F203="",G203=""),"Complete entry",IF(F203&lt;=0,"Check amount",IF(G203="Cancelled","Cancelled",IF(G203="Paid",IF(H203="","Enter paid date","Paid"),IF(E203="","Enter due date",IF(E203&lt;'Data &amp; Targets'!$C$10,"Overdue",IF(E203&lt;'Data &amp; Targets'!$C$10+30,"Due next 30 days","Unpaid"))))))))</x:f>
      </x:c>
    </x:row>
    <x:row r="204" ht="22" customHeight="1">
      <x:c r="A204" s="107"/>
      <x:c r="B204" s="107"/>
      <x:c r="C204" s="107"/>
      <x:c r="D204" s="107"/>
      <x:c r="E204" s="111"/>
      <x:c r="F204" s="109"/>
      <x:c r="G204" s="107"/>
      <x:c r="H204" s="111"/>
      <x:c r="I204" s="107"/>
      <x:c r="J204" t="str">
        <x:f>IF(COUNTA(A204:I204)=0,"",IF(OR(A204="",B204="",C204="",F204="",G204=""),"Complete entry",IF(F204&lt;=0,"Check amount",IF(G204="Cancelled","Cancelled",IF(G204="Paid",IF(H204="","Enter paid date","Paid"),IF(E204="","Enter due date",IF(E204&lt;'Data &amp; Targets'!$C$10,"Overdue",IF(E204&lt;'Data &amp; Targets'!$C$10+30,"Due next 30 days","Unpaid"))))))))</x:f>
      </x:c>
    </x:row>
    <x:row r="205" ht="22" customHeight="1">
      <x:c r="A205" s="107"/>
      <x:c r="B205" s="107"/>
      <x:c r="C205" s="107"/>
      <x:c r="D205" s="107"/>
      <x:c r="E205" s="111"/>
      <x:c r="F205" s="109"/>
      <x:c r="G205" s="107"/>
      <x:c r="H205" s="111"/>
      <x:c r="I205" s="107"/>
      <x:c r="J205" t="str">
        <x:f>IF(COUNTA(A205:I205)=0,"",IF(OR(A205="",B205="",C205="",F205="",G205=""),"Complete entry",IF(F205&lt;=0,"Check amount",IF(G205="Cancelled","Cancelled",IF(G205="Paid",IF(H205="","Enter paid date","Paid"),IF(E205="","Enter due date",IF(E205&lt;'Data &amp; Targets'!$C$10,"Overdue",IF(E205&lt;'Data &amp; Targets'!$C$10+30,"Due next 30 days","Unpaid"))))))))</x:f>
      </x:c>
    </x:row>
    <x:row r="206" ht="22" customHeight="1">
      <x:c r="A206" s="107"/>
      <x:c r="B206" s="107"/>
      <x:c r="C206" s="107"/>
      <x:c r="D206" s="107"/>
      <x:c r="E206" s="111"/>
      <x:c r="F206" s="109"/>
      <x:c r="G206" s="107"/>
      <x:c r="H206" s="111"/>
      <x:c r="I206" s="107"/>
      <x:c r="J206" t="str">
        <x:f>IF(COUNTA(A206:I206)=0,"",IF(OR(A206="",B206="",C206="",F206="",G206=""),"Complete entry",IF(F206&lt;=0,"Check amount",IF(G206="Cancelled","Cancelled",IF(G206="Paid",IF(H206="","Enter paid date","Paid"),IF(E206="","Enter due date",IF(E206&lt;'Data &amp; Targets'!$C$10,"Overdue",IF(E206&lt;'Data &amp; Targets'!$C$10+30,"Due next 30 days","Unpaid"))))))))</x:f>
      </x:c>
    </x:row>
    <x:row r="207" ht="22" customHeight="1">
      <x:c r="A207" s="107"/>
      <x:c r="B207" s="107"/>
      <x:c r="C207" s="107"/>
      <x:c r="D207" s="107"/>
      <x:c r="E207" s="111"/>
      <x:c r="F207" s="109"/>
      <x:c r="G207" s="107"/>
      <x:c r="H207" s="111"/>
      <x:c r="I207" s="107"/>
      <x:c r="J207" t="str">
        <x:f>IF(COUNTA(A207:I207)=0,"",IF(OR(A207="",B207="",C207="",F207="",G207=""),"Complete entry",IF(F207&lt;=0,"Check amount",IF(G207="Cancelled","Cancelled",IF(G207="Paid",IF(H207="","Enter paid date","Paid"),IF(E207="","Enter due date",IF(E207&lt;'Data &amp; Targets'!$C$10,"Overdue",IF(E207&lt;'Data &amp; Targets'!$C$10+30,"Due next 30 days","Unpaid"))))))))</x:f>
      </x:c>
    </x:row>
    <x:row r="208" ht="22" customHeight="1">
      <x:c r="A208" s="107"/>
      <x:c r="B208" s="107"/>
      <x:c r="C208" s="107"/>
      <x:c r="D208" s="107"/>
      <x:c r="E208" s="111"/>
      <x:c r="F208" s="109"/>
      <x:c r="G208" s="107"/>
      <x:c r="H208" s="111"/>
      <x:c r="I208" s="107"/>
      <x:c r="J208" t="str">
        <x:f>IF(COUNTA(A208:I208)=0,"",IF(OR(A208="",B208="",C208="",F208="",G208=""),"Complete entry",IF(F208&lt;=0,"Check amount",IF(G208="Cancelled","Cancelled",IF(G208="Paid",IF(H208="","Enter paid date","Paid"),IF(E208="","Enter due date",IF(E208&lt;'Data &amp; Targets'!$C$10,"Overdue",IF(E208&lt;'Data &amp; Targets'!$C$10+30,"Due next 30 days","Unpaid"))))))))</x:f>
      </x:c>
    </x:row>
    <x:row r="209" ht="22" customHeight="1">
      <x:c r="A209" s="107"/>
      <x:c r="B209" s="107"/>
      <x:c r="C209" s="107"/>
      <x:c r="D209" s="107"/>
      <x:c r="E209" s="111"/>
      <x:c r="F209" s="109"/>
      <x:c r="G209" s="107"/>
      <x:c r="H209" s="111"/>
      <x:c r="I209" s="107"/>
      <x:c r="J209" t="str">
        <x:f>IF(COUNTA(A209:I209)=0,"",IF(OR(A209="",B209="",C209="",F209="",G209=""),"Complete entry",IF(F209&lt;=0,"Check amount",IF(G209="Cancelled","Cancelled",IF(G209="Paid",IF(H209="","Enter paid date","Paid"),IF(E209="","Enter due date",IF(E209&lt;'Data &amp; Targets'!$C$10,"Overdue",IF(E209&lt;'Data &amp; Targets'!$C$10+30,"Due next 30 days","Unpaid"))))))))</x:f>
      </x:c>
    </x:row>
    <x:row r="210" ht="22" customHeight="1">
      <x:c r="A210" s="107"/>
      <x:c r="B210" s="107"/>
      <x:c r="C210" s="107"/>
      <x:c r="D210" s="107"/>
      <x:c r="E210" s="111"/>
      <x:c r="F210" s="109"/>
      <x:c r="G210" s="107"/>
      <x:c r="H210" s="111"/>
      <x:c r="I210" s="107"/>
      <x:c r="J210" t="str">
        <x:f>IF(COUNTA(A210:I210)=0,"",IF(OR(A210="",B210="",C210="",F210="",G210=""),"Complete entry",IF(F210&lt;=0,"Check amount",IF(G210="Cancelled","Cancelled",IF(G210="Paid",IF(H210="","Enter paid date","Paid"),IF(E210="","Enter due date",IF(E210&lt;'Data &amp; Targets'!$C$10,"Overdue",IF(E210&lt;'Data &amp; Targets'!$C$10+30,"Due next 30 days","Unpaid"))))))))</x:f>
      </x:c>
    </x:row>
    <x:row r="211" ht="22" customHeight="1">
      <x:c r="A211" s="107"/>
      <x:c r="B211" s="107"/>
      <x:c r="C211" s="107"/>
      <x:c r="D211" s="107"/>
      <x:c r="E211" s="111"/>
      <x:c r="F211" s="109"/>
      <x:c r="G211" s="107"/>
      <x:c r="H211" s="111"/>
      <x:c r="I211" s="107"/>
      <x:c r="J211" t="str">
        <x:f>IF(COUNTA(A211:I211)=0,"",IF(OR(A211="",B211="",C211="",F211="",G211=""),"Complete entry",IF(F211&lt;=0,"Check amount",IF(G211="Cancelled","Cancelled",IF(G211="Paid",IF(H211="","Enter paid date","Paid"),IF(E211="","Enter due date",IF(E211&lt;'Data &amp; Targets'!$C$10,"Overdue",IF(E211&lt;'Data &amp; Targets'!$C$10+30,"Due next 30 days","Unpaid"))))))))</x:f>
      </x:c>
    </x:row>
    <x:row r="212" ht="22" customHeight="1">
      <x:c r="A212" s="107"/>
      <x:c r="B212" s="107"/>
      <x:c r="C212" s="107"/>
      <x:c r="D212" s="107"/>
      <x:c r="E212" s="111"/>
      <x:c r="F212" s="109"/>
      <x:c r="G212" s="107"/>
      <x:c r="H212" s="111"/>
      <x:c r="I212" s="107"/>
      <x:c r="J212" t="str">
        <x:f>IF(COUNTA(A212:I212)=0,"",IF(OR(A212="",B212="",C212="",F212="",G212=""),"Complete entry",IF(F212&lt;=0,"Check amount",IF(G212="Cancelled","Cancelled",IF(G212="Paid",IF(H212="","Enter paid date","Paid"),IF(E212="","Enter due date",IF(E212&lt;'Data &amp; Targets'!$C$10,"Overdue",IF(E212&lt;'Data &amp; Targets'!$C$10+30,"Due next 30 days","Unpaid"))))))))</x:f>
      </x:c>
    </x:row>
    <x:row r="213" ht="22" customHeight="1">
      <x:c r="A213" s="107"/>
      <x:c r="B213" s="107"/>
      <x:c r="C213" s="107"/>
      <x:c r="D213" s="107"/>
      <x:c r="E213" s="111"/>
      <x:c r="F213" s="109"/>
      <x:c r="G213" s="107"/>
      <x:c r="H213" s="111"/>
      <x:c r="I213" s="107"/>
      <x:c r="J213" t="str">
        <x:f>IF(COUNTA(A213:I213)=0,"",IF(OR(A213="",B213="",C213="",F213="",G213=""),"Complete entry",IF(F213&lt;=0,"Check amount",IF(G213="Cancelled","Cancelled",IF(G213="Paid",IF(H213="","Enter paid date","Paid"),IF(E213="","Enter due date",IF(E213&lt;'Data &amp; Targets'!$C$10,"Overdue",IF(E213&lt;'Data &amp; Targets'!$C$10+30,"Due next 30 days","Unpaid"))))))))</x:f>
      </x:c>
    </x:row>
    <x:row r="214" ht="22" customHeight="1">
      <x:c r="A214" s="107"/>
      <x:c r="B214" s="107"/>
      <x:c r="C214" s="107"/>
      <x:c r="D214" s="107"/>
      <x:c r="E214" s="111"/>
      <x:c r="F214" s="109"/>
      <x:c r="G214" s="107"/>
      <x:c r="H214" s="111"/>
      <x:c r="I214" s="107"/>
      <x:c r="J214" t="str">
        <x:f>IF(COUNTA(A214:I214)=0,"",IF(OR(A214="",B214="",C214="",F214="",G214=""),"Complete entry",IF(F214&lt;=0,"Check amount",IF(G214="Cancelled","Cancelled",IF(G214="Paid",IF(H214="","Enter paid date","Paid"),IF(E214="","Enter due date",IF(E214&lt;'Data &amp; Targets'!$C$10,"Overdue",IF(E214&lt;'Data &amp; Targets'!$C$10+30,"Due next 30 days","Unpaid"))))))))</x:f>
      </x:c>
    </x:row>
    <x:row r="215" ht="22" customHeight="1">
      <x:c r="A215" s="107"/>
      <x:c r="B215" s="107"/>
      <x:c r="C215" s="107"/>
      <x:c r="D215" s="107"/>
      <x:c r="E215" s="111"/>
      <x:c r="F215" s="109"/>
      <x:c r="G215" s="107"/>
      <x:c r="H215" s="111"/>
      <x:c r="I215" s="107"/>
      <x:c r="J215" t="str">
        <x:f>IF(COUNTA(A215:I215)=0,"",IF(OR(A215="",B215="",C215="",F215="",G215=""),"Complete entry",IF(F215&lt;=0,"Check amount",IF(G215="Cancelled","Cancelled",IF(G215="Paid",IF(H215="","Enter paid date","Paid"),IF(E215="","Enter due date",IF(E215&lt;'Data &amp; Targets'!$C$10,"Overdue",IF(E215&lt;'Data &amp; Targets'!$C$10+30,"Due next 30 days","Unpaid"))))))))</x:f>
      </x:c>
    </x:row>
    <x:row r="216" ht="22" customHeight="1">
      <x:c r="A216" s="107"/>
      <x:c r="B216" s="107"/>
      <x:c r="C216" s="107"/>
      <x:c r="D216" s="107"/>
      <x:c r="E216" s="111"/>
      <x:c r="F216" s="109"/>
      <x:c r="G216" s="107"/>
      <x:c r="H216" s="111"/>
      <x:c r="I216" s="107"/>
      <x:c r="J216" t="str">
        <x:f>IF(COUNTA(A216:I216)=0,"",IF(OR(A216="",B216="",C216="",F216="",G216=""),"Complete entry",IF(F216&lt;=0,"Check amount",IF(G216="Cancelled","Cancelled",IF(G216="Paid",IF(H216="","Enter paid date","Paid"),IF(E216="","Enter due date",IF(E216&lt;'Data &amp; Targets'!$C$10,"Overdue",IF(E216&lt;'Data &amp; Targets'!$C$10+30,"Due next 30 days","Unpaid"))))))))</x:f>
      </x:c>
    </x:row>
    <x:row r="217" ht="22" customHeight="1">
      <x:c r="A217" s="107"/>
      <x:c r="B217" s="107"/>
      <x:c r="C217" s="107"/>
      <x:c r="D217" s="107"/>
      <x:c r="E217" s="111"/>
      <x:c r="F217" s="109"/>
      <x:c r="G217" s="107"/>
      <x:c r="H217" s="111"/>
      <x:c r="I217" s="107"/>
      <x:c r="J217" t="str">
        <x:f>IF(COUNTA(A217:I217)=0,"",IF(OR(A217="",B217="",C217="",F217="",G217=""),"Complete entry",IF(F217&lt;=0,"Check amount",IF(G217="Cancelled","Cancelled",IF(G217="Paid",IF(H217="","Enter paid date","Paid"),IF(E217="","Enter due date",IF(E217&lt;'Data &amp; Targets'!$C$10,"Overdue",IF(E217&lt;'Data &amp; Targets'!$C$10+30,"Due next 30 days","Unpaid"))))))))</x:f>
      </x:c>
    </x:row>
    <x:row r="218" ht="22" customHeight="1">
      <x:c r="A218" s="107"/>
      <x:c r="B218" s="107"/>
      <x:c r="C218" s="107"/>
      <x:c r="D218" s="107"/>
      <x:c r="E218" s="111"/>
      <x:c r="F218" s="109"/>
      <x:c r="G218" s="107"/>
      <x:c r="H218" s="111"/>
      <x:c r="I218" s="107"/>
      <x:c r="J218" t="str">
        <x:f>IF(COUNTA(A218:I218)=0,"",IF(OR(A218="",B218="",C218="",F218="",G218=""),"Complete entry",IF(F218&lt;=0,"Check amount",IF(G218="Cancelled","Cancelled",IF(G218="Paid",IF(H218="","Enter paid date","Paid"),IF(E218="","Enter due date",IF(E218&lt;'Data &amp; Targets'!$C$10,"Overdue",IF(E218&lt;'Data &amp; Targets'!$C$10+30,"Due next 30 days","Unpaid"))))))))</x:f>
      </x:c>
    </x:row>
    <x:row r="219" ht="22" customHeight="1">
      <x:c r="A219" s="107"/>
      <x:c r="B219" s="107"/>
      <x:c r="C219" s="107"/>
      <x:c r="D219" s="107"/>
      <x:c r="E219" s="111"/>
      <x:c r="F219" s="109"/>
      <x:c r="G219" s="107"/>
      <x:c r="H219" s="111"/>
      <x:c r="I219" s="107"/>
      <x:c r="J219" t="str">
        <x:f>IF(COUNTA(A219:I219)=0,"",IF(OR(A219="",B219="",C219="",F219="",G219=""),"Complete entry",IF(F219&lt;=0,"Check amount",IF(G219="Cancelled","Cancelled",IF(G219="Paid",IF(H219="","Enter paid date","Paid"),IF(E219="","Enter due date",IF(E219&lt;'Data &amp; Targets'!$C$10,"Overdue",IF(E219&lt;'Data &amp; Targets'!$C$10+30,"Due next 30 days","Unpaid"))))))))</x:f>
      </x:c>
    </x:row>
    <x:row r="220" ht="22" customHeight="1">
      <x:c r="A220" s="107"/>
      <x:c r="B220" s="107"/>
      <x:c r="C220" s="107"/>
      <x:c r="D220" s="107"/>
      <x:c r="E220" s="111"/>
      <x:c r="F220" s="109"/>
      <x:c r="G220" s="107"/>
      <x:c r="H220" s="111"/>
      <x:c r="I220" s="107"/>
      <x:c r="J220" t="str">
        <x:f>IF(COUNTA(A220:I220)=0,"",IF(OR(A220="",B220="",C220="",F220="",G220=""),"Complete entry",IF(F220&lt;=0,"Check amount",IF(G220="Cancelled","Cancelled",IF(G220="Paid",IF(H220="","Enter paid date","Paid"),IF(E220="","Enter due date",IF(E220&lt;'Data &amp; Targets'!$C$10,"Overdue",IF(E220&lt;'Data &amp; Targets'!$C$10+30,"Due next 30 days","Unpaid"))))))))</x:f>
      </x:c>
    </x:row>
    <x:row r="221" ht="22" customHeight="1">
      <x:c r="A221" s="107"/>
      <x:c r="B221" s="107"/>
      <x:c r="C221" s="107"/>
      <x:c r="D221" s="107"/>
      <x:c r="E221" s="111"/>
      <x:c r="F221" s="109"/>
      <x:c r="G221" s="107"/>
      <x:c r="H221" s="111"/>
      <x:c r="I221" s="107"/>
      <x:c r="J221" t="str">
        <x:f>IF(COUNTA(A221:I221)=0,"",IF(OR(A221="",B221="",C221="",F221="",G221=""),"Complete entry",IF(F221&lt;=0,"Check amount",IF(G221="Cancelled","Cancelled",IF(G221="Paid",IF(H221="","Enter paid date","Paid"),IF(E221="","Enter due date",IF(E221&lt;'Data &amp; Targets'!$C$10,"Overdue",IF(E221&lt;'Data &amp; Targets'!$C$10+30,"Due next 30 days","Unpaid"))))))))</x:f>
      </x:c>
    </x:row>
    <x:row r="222" ht="22" customHeight="1">
      <x:c r="A222" s="107"/>
      <x:c r="B222" s="107"/>
      <x:c r="C222" s="107"/>
      <x:c r="D222" s="107"/>
      <x:c r="E222" s="111"/>
      <x:c r="F222" s="109"/>
      <x:c r="G222" s="107"/>
      <x:c r="H222" s="111"/>
      <x:c r="I222" s="107"/>
      <x:c r="J222" t="str">
        <x:f>IF(COUNTA(A222:I222)=0,"",IF(OR(A222="",B222="",C222="",F222="",G222=""),"Complete entry",IF(F222&lt;=0,"Check amount",IF(G222="Cancelled","Cancelled",IF(G222="Paid",IF(H222="","Enter paid date","Paid"),IF(E222="","Enter due date",IF(E222&lt;'Data &amp; Targets'!$C$10,"Overdue",IF(E222&lt;'Data &amp; Targets'!$C$10+30,"Due next 30 days","Unpaid"))))))))</x:f>
      </x:c>
    </x:row>
    <x:row r="223" ht="22" customHeight="1">
      <x:c r="A223" s="107"/>
      <x:c r="B223" s="107"/>
      <x:c r="C223" s="107"/>
      <x:c r="D223" s="107"/>
      <x:c r="E223" s="111"/>
      <x:c r="F223" s="109"/>
      <x:c r="G223" s="107"/>
      <x:c r="H223" s="111"/>
      <x:c r="I223" s="107"/>
      <x:c r="J223" t="str">
        <x:f>IF(COUNTA(A223:I223)=0,"",IF(OR(A223="",B223="",C223="",F223="",G223=""),"Complete entry",IF(F223&lt;=0,"Check amount",IF(G223="Cancelled","Cancelled",IF(G223="Paid",IF(H223="","Enter paid date","Paid"),IF(E223="","Enter due date",IF(E223&lt;'Data &amp; Targets'!$C$10,"Overdue",IF(E223&lt;'Data &amp; Targets'!$C$10+30,"Due next 30 days","Unpaid"))))))))</x:f>
      </x:c>
    </x:row>
    <x:row r="224" ht="22" customHeight="1">
      <x:c r="A224" s="107"/>
      <x:c r="B224" s="107"/>
      <x:c r="C224" s="107"/>
      <x:c r="D224" s="107"/>
      <x:c r="E224" s="111"/>
      <x:c r="F224" s="109"/>
      <x:c r="G224" s="107"/>
      <x:c r="H224" s="111"/>
      <x:c r="I224" s="107"/>
      <x:c r="J224" t="str">
        <x:f>IF(COUNTA(A224:I224)=0,"",IF(OR(A224="",B224="",C224="",F224="",G224=""),"Complete entry",IF(F224&lt;=0,"Check amount",IF(G224="Cancelled","Cancelled",IF(G224="Paid",IF(H224="","Enter paid date","Paid"),IF(E224="","Enter due date",IF(E224&lt;'Data &amp; Targets'!$C$10,"Overdue",IF(E224&lt;'Data &amp; Targets'!$C$10+30,"Due next 30 days","Unpaid"))))))))</x:f>
      </x:c>
    </x:row>
    <x:row r="225" ht="22" customHeight="1">
      <x:c r="A225" s="107"/>
      <x:c r="B225" s="107"/>
      <x:c r="C225" s="107"/>
      <x:c r="D225" s="107"/>
      <x:c r="E225" s="111"/>
      <x:c r="F225" s="109"/>
      <x:c r="G225" s="107"/>
      <x:c r="H225" s="111"/>
      <x:c r="I225" s="107"/>
      <x:c r="J225" t="str">
        <x:f>IF(COUNTA(A225:I225)=0,"",IF(OR(A225="",B225="",C225="",F225="",G225=""),"Complete entry",IF(F225&lt;=0,"Check amount",IF(G225="Cancelled","Cancelled",IF(G225="Paid",IF(H225="","Enter paid date","Paid"),IF(E225="","Enter due date",IF(E225&lt;'Data &amp; Targets'!$C$10,"Overdue",IF(E225&lt;'Data &amp; Targets'!$C$10+30,"Due next 30 days","Unpaid"))))))))</x:f>
      </x:c>
    </x:row>
    <x:row r="226" ht="22" customHeight="1">
      <x:c r="A226" s="107"/>
      <x:c r="B226" s="107"/>
      <x:c r="C226" s="107"/>
      <x:c r="D226" s="107"/>
      <x:c r="E226" s="111"/>
      <x:c r="F226" s="109"/>
      <x:c r="G226" s="107"/>
      <x:c r="H226" s="111"/>
      <x:c r="I226" s="107"/>
      <x:c r="J226" t="str">
        <x:f>IF(COUNTA(A226:I226)=0,"",IF(OR(A226="",B226="",C226="",F226="",G226=""),"Complete entry",IF(F226&lt;=0,"Check amount",IF(G226="Cancelled","Cancelled",IF(G226="Paid",IF(H226="","Enter paid date","Paid"),IF(E226="","Enter due date",IF(E226&lt;'Data &amp; Targets'!$C$10,"Overdue",IF(E226&lt;'Data &amp; Targets'!$C$10+30,"Due next 30 days","Unpaid"))))))))</x:f>
      </x:c>
    </x:row>
    <x:row r="227" ht="22" customHeight="1">
      <x:c r="A227" s="107"/>
      <x:c r="B227" s="107"/>
      <x:c r="C227" s="107"/>
      <x:c r="D227" s="107"/>
      <x:c r="E227" s="111"/>
      <x:c r="F227" s="109"/>
      <x:c r="G227" s="107"/>
      <x:c r="H227" s="111"/>
      <x:c r="I227" s="107"/>
      <x:c r="J227" t="str">
        <x:f>IF(COUNTA(A227:I227)=0,"",IF(OR(A227="",B227="",C227="",F227="",G227=""),"Complete entry",IF(F227&lt;=0,"Check amount",IF(G227="Cancelled","Cancelled",IF(G227="Paid",IF(H227="","Enter paid date","Paid"),IF(E227="","Enter due date",IF(E227&lt;'Data &amp; Targets'!$C$10,"Overdue",IF(E227&lt;'Data &amp; Targets'!$C$10+30,"Due next 30 days","Unpaid"))))))))</x:f>
      </x:c>
    </x:row>
    <x:row r="228" ht="22" customHeight="1">
      <x:c r="A228" s="107"/>
      <x:c r="B228" s="107"/>
      <x:c r="C228" s="107"/>
      <x:c r="D228" s="107"/>
      <x:c r="E228" s="111"/>
      <x:c r="F228" s="109"/>
      <x:c r="G228" s="107"/>
      <x:c r="H228" s="111"/>
      <x:c r="I228" s="107"/>
      <x:c r="J228" t="str">
        <x:f>IF(COUNTA(A228:I228)=0,"",IF(OR(A228="",B228="",C228="",F228="",G228=""),"Complete entry",IF(F228&lt;=0,"Check amount",IF(G228="Cancelled","Cancelled",IF(G228="Paid",IF(H228="","Enter paid date","Paid"),IF(E228="","Enter due date",IF(E228&lt;'Data &amp; Targets'!$C$10,"Overdue",IF(E228&lt;'Data &amp; Targets'!$C$10+30,"Due next 30 days","Unpaid"))))))))</x:f>
      </x:c>
    </x:row>
    <x:row r="229" ht="22" customHeight="1">
      <x:c r="A229" s="107"/>
      <x:c r="B229" s="107"/>
      <x:c r="C229" s="107"/>
      <x:c r="D229" s="107"/>
      <x:c r="E229" s="111"/>
      <x:c r="F229" s="109"/>
      <x:c r="G229" s="107"/>
      <x:c r="H229" s="111"/>
      <x:c r="I229" s="107"/>
      <x:c r="J229" t="str">
        <x:f>IF(COUNTA(A229:I229)=0,"",IF(OR(A229="",B229="",C229="",F229="",G229=""),"Complete entry",IF(F229&lt;=0,"Check amount",IF(G229="Cancelled","Cancelled",IF(G229="Paid",IF(H229="","Enter paid date","Paid"),IF(E229="","Enter due date",IF(E229&lt;'Data &amp; Targets'!$C$10,"Overdue",IF(E229&lt;'Data &amp; Targets'!$C$10+30,"Due next 30 days","Unpaid"))))))))</x:f>
      </x:c>
    </x:row>
    <x:row r="230" ht="22" customHeight="1">
      <x:c r="A230" s="107"/>
      <x:c r="B230" s="107"/>
      <x:c r="C230" s="107"/>
      <x:c r="D230" s="107"/>
      <x:c r="E230" s="111"/>
      <x:c r="F230" s="109"/>
      <x:c r="G230" s="107"/>
      <x:c r="H230" s="111"/>
      <x:c r="I230" s="107"/>
      <x:c r="J230" t="str">
        <x:f>IF(COUNTA(A230:I230)=0,"",IF(OR(A230="",B230="",C230="",F230="",G230=""),"Complete entry",IF(F230&lt;=0,"Check amount",IF(G230="Cancelled","Cancelled",IF(G230="Paid",IF(H230="","Enter paid date","Paid"),IF(E230="","Enter due date",IF(E230&lt;'Data &amp; Targets'!$C$10,"Overdue",IF(E230&lt;'Data &amp; Targets'!$C$10+30,"Due next 30 days","Unpaid"))))))))</x:f>
      </x:c>
    </x:row>
    <x:row r="231" ht="22" customHeight="1">
      <x:c r="A231" s="107"/>
      <x:c r="B231" s="107"/>
      <x:c r="C231" s="107"/>
      <x:c r="D231" s="107"/>
      <x:c r="E231" s="111"/>
      <x:c r="F231" s="109"/>
      <x:c r="G231" s="107"/>
      <x:c r="H231" s="111"/>
      <x:c r="I231" s="107"/>
      <x:c r="J231" t="str">
        <x:f>IF(COUNTA(A231:I231)=0,"",IF(OR(A231="",B231="",C231="",F231="",G231=""),"Complete entry",IF(F231&lt;=0,"Check amount",IF(G231="Cancelled","Cancelled",IF(G231="Paid",IF(H231="","Enter paid date","Paid"),IF(E231="","Enter due date",IF(E231&lt;'Data &amp; Targets'!$C$10,"Overdue",IF(E231&lt;'Data &amp; Targets'!$C$10+30,"Due next 30 days","Unpaid"))))))))</x:f>
      </x:c>
    </x:row>
    <x:row r="232" ht="22" customHeight="1">
      <x:c r="A232" s="107"/>
      <x:c r="B232" s="107"/>
      <x:c r="C232" s="107"/>
      <x:c r="D232" s="107"/>
      <x:c r="E232" s="111"/>
      <x:c r="F232" s="109"/>
      <x:c r="G232" s="107"/>
      <x:c r="H232" s="111"/>
      <x:c r="I232" s="107"/>
      <x:c r="J232" t="str">
        <x:f>IF(COUNTA(A232:I232)=0,"",IF(OR(A232="",B232="",C232="",F232="",G232=""),"Complete entry",IF(F232&lt;=0,"Check amount",IF(G232="Cancelled","Cancelled",IF(G232="Paid",IF(H232="","Enter paid date","Paid"),IF(E232="","Enter due date",IF(E232&lt;'Data &amp; Targets'!$C$10,"Overdue",IF(E232&lt;'Data &amp; Targets'!$C$10+30,"Due next 30 days","Unpaid"))))))))</x:f>
      </x:c>
    </x:row>
    <x:row r="233" ht="22" customHeight="1">
      <x:c r="A233" s="107"/>
      <x:c r="B233" s="107"/>
      <x:c r="C233" s="107"/>
      <x:c r="D233" s="107"/>
      <x:c r="E233" s="111"/>
      <x:c r="F233" s="109"/>
      <x:c r="G233" s="107"/>
      <x:c r="H233" s="111"/>
      <x:c r="I233" s="107"/>
      <x:c r="J233" t="str">
        <x:f>IF(COUNTA(A233:I233)=0,"",IF(OR(A233="",B233="",C233="",F233="",G233=""),"Complete entry",IF(F233&lt;=0,"Check amount",IF(G233="Cancelled","Cancelled",IF(G233="Paid",IF(H233="","Enter paid date","Paid"),IF(E233="","Enter due date",IF(E233&lt;'Data &amp; Targets'!$C$10,"Overdue",IF(E233&lt;'Data &amp; Targets'!$C$10+30,"Due next 30 days","Unpaid"))))))))</x:f>
      </x:c>
    </x:row>
    <x:row r="234" ht="22" customHeight="1">
      <x:c r="A234" s="107"/>
      <x:c r="B234" s="107"/>
      <x:c r="C234" s="107"/>
      <x:c r="D234" s="107"/>
      <x:c r="E234" s="111"/>
      <x:c r="F234" s="109"/>
      <x:c r="G234" s="107"/>
      <x:c r="H234" s="111"/>
      <x:c r="I234" s="107"/>
      <x:c r="J234" t="str">
        <x:f>IF(COUNTA(A234:I234)=0,"",IF(OR(A234="",B234="",C234="",F234="",G234=""),"Complete entry",IF(F234&lt;=0,"Check amount",IF(G234="Cancelled","Cancelled",IF(G234="Paid",IF(H234="","Enter paid date","Paid"),IF(E234="","Enter due date",IF(E234&lt;'Data &amp; Targets'!$C$10,"Overdue",IF(E234&lt;'Data &amp; Targets'!$C$10+30,"Due next 30 days","Unpaid"))))))))</x:f>
      </x:c>
    </x:row>
    <x:row r="235" ht="22" customHeight="1">
      <x:c r="A235" s="107"/>
      <x:c r="B235" s="107"/>
      <x:c r="C235" s="107"/>
      <x:c r="D235" s="107"/>
      <x:c r="E235" s="111"/>
      <x:c r="F235" s="109"/>
      <x:c r="G235" s="107"/>
      <x:c r="H235" s="111"/>
      <x:c r="I235" s="107"/>
      <x:c r="J235" t="str">
        <x:f>IF(COUNTA(A235:I235)=0,"",IF(OR(A235="",B235="",C235="",F235="",G235=""),"Complete entry",IF(F235&lt;=0,"Check amount",IF(G235="Cancelled","Cancelled",IF(G235="Paid",IF(H235="","Enter paid date","Paid"),IF(E235="","Enter due date",IF(E235&lt;'Data &amp; Targets'!$C$10,"Overdue",IF(E235&lt;'Data &amp; Targets'!$C$10+30,"Due next 30 days","Unpaid"))))))))</x:f>
      </x:c>
    </x:row>
    <x:row r="236" ht="22" customHeight="1">
      <x:c r="A236" s="107"/>
      <x:c r="B236" s="107"/>
      <x:c r="C236" s="107"/>
      <x:c r="D236" s="107"/>
      <x:c r="E236" s="111"/>
      <x:c r="F236" s="109"/>
      <x:c r="G236" s="107"/>
      <x:c r="H236" s="111"/>
      <x:c r="I236" s="107"/>
      <x:c r="J236" t="str">
        <x:f>IF(COUNTA(A236:I236)=0,"",IF(OR(A236="",B236="",C236="",F236="",G236=""),"Complete entry",IF(F236&lt;=0,"Check amount",IF(G236="Cancelled","Cancelled",IF(G236="Paid",IF(H236="","Enter paid date","Paid"),IF(E236="","Enter due date",IF(E236&lt;'Data &amp; Targets'!$C$10,"Overdue",IF(E236&lt;'Data &amp; Targets'!$C$10+30,"Due next 30 days","Unpaid"))))))))</x:f>
      </x:c>
    </x:row>
    <x:row r="237" ht="22" customHeight="1">
      <x:c r="A237" s="107"/>
      <x:c r="B237" s="107"/>
      <x:c r="C237" s="107"/>
      <x:c r="D237" s="107"/>
      <x:c r="E237" s="111"/>
      <x:c r="F237" s="109"/>
      <x:c r="G237" s="107"/>
      <x:c r="H237" s="111"/>
      <x:c r="I237" s="107"/>
      <x:c r="J237" t="str">
        <x:f>IF(COUNTA(A237:I237)=0,"",IF(OR(A237="",B237="",C237="",F237="",G237=""),"Complete entry",IF(F237&lt;=0,"Check amount",IF(G237="Cancelled","Cancelled",IF(G237="Paid",IF(H237="","Enter paid date","Paid"),IF(E237="","Enter due date",IF(E237&lt;'Data &amp; Targets'!$C$10,"Overdue",IF(E237&lt;'Data &amp; Targets'!$C$10+30,"Due next 30 days","Unpaid"))))))))</x:f>
      </x:c>
    </x:row>
    <x:row r="238" ht="22" customHeight="1">
      <x:c r="A238" s="107"/>
      <x:c r="B238" s="107"/>
      <x:c r="C238" s="107"/>
      <x:c r="D238" s="107"/>
      <x:c r="E238" s="111"/>
      <x:c r="F238" s="109"/>
      <x:c r="G238" s="107"/>
      <x:c r="H238" s="111"/>
      <x:c r="I238" s="107"/>
      <x:c r="J238" t="str">
        <x:f>IF(COUNTA(A238:I238)=0,"",IF(OR(A238="",B238="",C238="",F238="",G238=""),"Complete entry",IF(F238&lt;=0,"Check amount",IF(G238="Cancelled","Cancelled",IF(G238="Paid",IF(H238="","Enter paid date","Paid"),IF(E238="","Enter due date",IF(E238&lt;'Data &amp; Targets'!$C$10,"Overdue",IF(E238&lt;'Data &amp; Targets'!$C$10+30,"Due next 30 days","Unpaid"))))))))</x:f>
      </x:c>
    </x:row>
    <x:row r="239" ht="22" customHeight="1">
      <x:c r="A239" s="107"/>
      <x:c r="B239" s="107"/>
      <x:c r="C239" s="107"/>
      <x:c r="D239" s="107"/>
      <x:c r="E239" s="111"/>
      <x:c r="F239" s="109"/>
      <x:c r="G239" s="107"/>
      <x:c r="H239" s="111"/>
      <x:c r="I239" s="107"/>
      <x:c r="J239" t="str">
        <x:f>IF(COUNTA(A239:I239)=0,"",IF(OR(A239="",B239="",C239="",F239="",G239=""),"Complete entry",IF(F239&lt;=0,"Check amount",IF(G239="Cancelled","Cancelled",IF(G239="Paid",IF(H239="","Enter paid date","Paid"),IF(E239="","Enter due date",IF(E239&lt;'Data &amp; Targets'!$C$10,"Overdue",IF(E239&lt;'Data &amp; Targets'!$C$10+30,"Due next 30 days","Unpaid"))))))))</x:f>
      </x:c>
    </x:row>
    <x:row r="240" ht="22" customHeight="1">
      <x:c r="A240" s="107"/>
      <x:c r="B240" s="107"/>
      <x:c r="C240" s="107"/>
      <x:c r="D240" s="107"/>
      <x:c r="E240" s="111"/>
      <x:c r="F240" s="109"/>
      <x:c r="G240" s="107"/>
      <x:c r="H240" s="111"/>
      <x:c r="I240" s="107"/>
      <x:c r="J240" t="str">
        <x:f>IF(COUNTA(A240:I240)=0,"",IF(OR(A240="",B240="",C240="",F240="",G240=""),"Complete entry",IF(F240&lt;=0,"Check amount",IF(G240="Cancelled","Cancelled",IF(G240="Paid",IF(H240="","Enter paid date","Paid"),IF(E240="","Enter due date",IF(E240&lt;'Data &amp; Targets'!$C$10,"Overdue",IF(E240&lt;'Data &amp; Targets'!$C$10+30,"Due next 30 days","Unpaid"))))))))</x:f>
      </x:c>
    </x:row>
    <x:row r="241" ht="22" customHeight="1">
      <x:c r="A241" s="107"/>
      <x:c r="B241" s="107"/>
      <x:c r="C241" s="107"/>
      <x:c r="D241" s="107"/>
      <x:c r="E241" s="111"/>
      <x:c r="F241" s="109"/>
      <x:c r="G241" s="107"/>
      <x:c r="H241" s="111"/>
      <x:c r="I241" s="107"/>
      <x:c r="J241" t="str">
        <x:f>IF(COUNTA(A241:I241)=0,"",IF(OR(A241="",B241="",C241="",F241="",G241=""),"Complete entry",IF(F241&lt;=0,"Check amount",IF(G241="Cancelled","Cancelled",IF(G241="Paid",IF(H241="","Enter paid date","Paid"),IF(E241="","Enter due date",IF(E241&lt;'Data &amp; Targets'!$C$10,"Overdue",IF(E241&lt;'Data &amp; Targets'!$C$10+30,"Due next 30 days","Unpaid"))))))))</x:f>
      </x:c>
    </x:row>
    <x:row r="242" ht="22" customHeight="1">
      <x:c r="A242" s="107"/>
      <x:c r="B242" s="107"/>
      <x:c r="C242" s="107"/>
      <x:c r="D242" s="107"/>
      <x:c r="E242" s="111"/>
      <x:c r="F242" s="109"/>
      <x:c r="G242" s="107"/>
      <x:c r="H242" s="111"/>
      <x:c r="I242" s="107"/>
      <x:c r="J242" t="str">
        <x:f>IF(COUNTA(A242:I242)=0,"",IF(OR(A242="",B242="",C242="",F242="",G242=""),"Complete entry",IF(F242&lt;=0,"Check amount",IF(G242="Cancelled","Cancelled",IF(G242="Paid",IF(H242="","Enter paid date","Paid"),IF(E242="","Enter due date",IF(E242&lt;'Data &amp; Targets'!$C$10,"Overdue",IF(E242&lt;'Data &amp; Targets'!$C$10+30,"Due next 30 days","Unpaid"))))))))</x:f>
      </x:c>
    </x:row>
    <x:row r="243" ht="22" customHeight="1">
      <x:c r="A243" s="107"/>
      <x:c r="B243" s="107"/>
      <x:c r="C243" s="107"/>
      <x:c r="D243" s="107"/>
      <x:c r="E243" s="111"/>
      <x:c r="F243" s="109"/>
      <x:c r="G243" s="107"/>
      <x:c r="H243" s="111"/>
      <x:c r="I243" s="107"/>
      <x:c r="J243" t="str">
        <x:f>IF(COUNTA(A243:I243)=0,"",IF(OR(A243="",B243="",C243="",F243="",G243=""),"Complete entry",IF(F243&lt;=0,"Check amount",IF(G243="Cancelled","Cancelled",IF(G243="Paid",IF(H243="","Enter paid date","Paid"),IF(E243="","Enter due date",IF(E243&lt;'Data &amp; Targets'!$C$10,"Overdue",IF(E243&lt;'Data &amp; Targets'!$C$10+30,"Due next 30 days","Unpaid"))))))))</x:f>
      </x:c>
    </x:row>
    <x:row r="244" ht="22" customHeight="1">
      <x:c r="A244" s="107"/>
      <x:c r="B244" s="107"/>
      <x:c r="C244" s="107"/>
      <x:c r="D244" s="107"/>
      <x:c r="E244" s="111"/>
      <x:c r="F244" s="109"/>
      <x:c r="G244" s="107"/>
      <x:c r="H244" s="111"/>
      <x:c r="I244" s="107"/>
      <x:c r="J244" t="str">
        <x:f>IF(COUNTA(A244:I244)=0,"",IF(OR(A244="",B244="",C244="",F244="",G244=""),"Complete entry",IF(F244&lt;=0,"Check amount",IF(G244="Cancelled","Cancelled",IF(G244="Paid",IF(H244="","Enter paid date","Paid"),IF(E244="","Enter due date",IF(E244&lt;'Data &amp; Targets'!$C$10,"Overdue",IF(E244&lt;'Data &amp; Targets'!$C$10+30,"Due next 30 days","Unpaid"))))))))</x:f>
      </x:c>
    </x:row>
    <x:row r="245" ht="22" customHeight="1">
      <x:c r="A245" s="107"/>
      <x:c r="B245" s="107"/>
      <x:c r="C245" s="107"/>
      <x:c r="D245" s="107"/>
      <x:c r="E245" s="111"/>
      <x:c r="F245" s="109"/>
      <x:c r="G245" s="107"/>
      <x:c r="H245" s="111"/>
      <x:c r="I245" s="107"/>
      <x:c r="J245" t="str">
        <x:f>IF(COUNTA(A245:I245)=0,"",IF(OR(A245="",B245="",C245="",F245="",G245=""),"Complete entry",IF(F245&lt;=0,"Check amount",IF(G245="Cancelled","Cancelled",IF(G245="Paid",IF(H245="","Enter paid date","Paid"),IF(E245="","Enter due date",IF(E245&lt;'Data &amp; Targets'!$C$10,"Overdue",IF(E245&lt;'Data &amp; Targets'!$C$10+30,"Due next 30 days","Unpaid"))))))))</x:f>
      </x:c>
    </x:row>
    <x:row r="246" ht="22" customHeight="1">
      <x:c r="A246" s="107"/>
      <x:c r="B246" s="107"/>
      <x:c r="C246" s="107"/>
      <x:c r="D246" s="107"/>
      <x:c r="E246" s="111"/>
      <x:c r="F246" s="109"/>
      <x:c r="G246" s="107"/>
      <x:c r="H246" s="111"/>
      <x:c r="I246" s="107"/>
      <x:c r="J246" t="str">
        <x:f>IF(COUNTA(A246:I246)=0,"",IF(OR(A246="",B246="",C246="",F246="",G246=""),"Complete entry",IF(F246&lt;=0,"Check amount",IF(G246="Cancelled","Cancelled",IF(G246="Paid",IF(H246="","Enter paid date","Paid"),IF(E246="","Enter due date",IF(E246&lt;'Data &amp; Targets'!$C$10,"Overdue",IF(E246&lt;'Data &amp; Targets'!$C$10+30,"Due next 30 days","Unpaid"))))))))</x:f>
      </x:c>
    </x:row>
    <x:row r="247" ht="22" customHeight="1">
      <x:c r="A247" s="107"/>
      <x:c r="B247" s="107"/>
      <x:c r="C247" s="107"/>
      <x:c r="D247" s="107"/>
      <x:c r="E247" s="111"/>
      <x:c r="F247" s="109"/>
      <x:c r="G247" s="107"/>
      <x:c r="H247" s="111"/>
      <x:c r="I247" s="107"/>
      <x:c r="J247" t="str">
        <x:f>IF(COUNTA(A247:I247)=0,"",IF(OR(A247="",B247="",C247="",F247="",G247=""),"Complete entry",IF(F247&lt;=0,"Check amount",IF(G247="Cancelled","Cancelled",IF(G247="Paid",IF(H247="","Enter paid date","Paid"),IF(E247="","Enter due date",IF(E247&lt;'Data &amp; Targets'!$C$10,"Overdue",IF(E247&lt;'Data &amp; Targets'!$C$10+30,"Due next 30 days","Unpaid"))))))))</x:f>
      </x:c>
    </x:row>
    <x:row r="248" ht="22" customHeight="1">
      <x:c r="A248" s="107"/>
      <x:c r="B248" s="107"/>
      <x:c r="C248" s="107"/>
      <x:c r="D248" s="107"/>
      <x:c r="E248" s="111"/>
      <x:c r="F248" s="109"/>
      <x:c r="G248" s="107"/>
      <x:c r="H248" s="111"/>
      <x:c r="I248" s="107"/>
      <x:c r="J248" t="str">
        <x:f>IF(COUNTA(A248:I248)=0,"",IF(OR(A248="",B248="",C248="",F248="",G248=""),"Complete entry",IF(F248&lt;=0,"Check amount",IF(G248="Cancelled","Cancelled",IF(G248="Paid",IF(H248="","Enter paid date","Paid"),IF(E248="","Enter due date",IF(E248&lt;'Data &amp; Targets'!$C$10,"Overdue",IF(E248&lt;'Data &amp; Targets'!$C$10+30,"Due next 30 days","Unpaid"))))))))</x:f>
      </x:c>
    </x:row>
    <x:row r="249" ht="22" customHeight="1">
      <x:c r="A249" s="107"/>
      <x:c r="B249" s="107"/>
      <x:c r="C249" s="107"/>
      <x:c r="D249" s="107"/>
      <x:c r="E249" s="111"/>
      <x:c r="F249" s="109"/>
      <x:c r="G249" s="107"/>
      <x:c r="H249" s="111"/>
      <x:c r="I249" s="107"/>
      <x:c r="J249" t="str">
        <x:f>IF(COUNTA(A249:I249)=0,"",IF(OR(A249="",B249="",C249="",F249="",G249=""),"Complete entry",IF(F249&lt;=0,"Check amount",IF(G249="Cancelled","Cancelled",IF(G249="Paid",IF(H249="","Enter paid date","Paid"),IF(E249="","Enter due date",IF(E249&lt;'Data &amp; Targets'!$C$10,"Overdue",IF(E249&lt;'Data &amp; Targets'!$C$10+30,"Due next 30 days","Unpaid"))))))))</x:f>
      </x:c>
    </x:row>
    <x:row r="250" ht="22" customHeight="1">
      <x:c r="A250" s="107"/>
      <x:c r="B250" s="107"/>
      <x:c r="C250" s="107"/>
      <x:c r="D250" s="107"/>
      <x:c r="E250" s="111"/>
      <x:c r="F250" s="109"/>
      <x:c r="G250" s="107"/>
      <x:c r="H250" s="111"/>
      <x:c r="I250" s="107"/>
      <x:c r="J250" t="str">
        <x:f>IF(COUNTA(A250:I250)=0,"",IF(OR(A250="",B250="",C250="",F250="",G250=""),"Complete entry",IF(F250&lt;=0,"Check amount",IF(G250="Cancelled","Cancelled",IF(G250="Paid",IF(H250="","Enter paid date","Paid"),IF(E250="","Enter due date",IF(E250&lt;'Data &amp; Targets'!$C$10,"Overdue",IF(E250&lt;'Data &amp; Targets'!$C$10+30,"Due next 30 days","Unpaid"))))))))</x:f>
      </x:c>
    </x:row>
    <x:row r="251" ht="22" customHeight="1">
      <x:c r="A251" s="107"/>
      <x:c r="B251" s="107"/>
      <x:c r="C251" s="107"/>
      <x:c r="D251" s="107"/>
      <x:c r="E251" s="111"/>
      <x:c r="F251" s="109"/>
      <x:c r="G251" s="107"/>
      <x:c r="H251" s="111"/>
      <x:c r="I251" s="107"/>
      <x:c r="J251" t="str">
        <x:f>IF(COUNTA(A251:I251)=0,"",IF(OR(A251="",B251="",C251="",F251="",G251=""),"Complete entry",IF(F251&lt;=0,"Check amount",IF(G251="Cancelled","Cancelled",IF(G251="Paid",IF(H251="","Enter paid date","Paid"),IF(E251="","Enter due date",IF(E251&lt;'Data &amp; Targets'!$C$10,"Overdue",IF(E251&lt;'Data &amp; Targets'!$C$10+30,"Due next 30 days","Unpaid"))))))))</x:f>
      </x:c>
    </x:row>
    <x:row r="252" ht="22" customHeight="1">
      <x:c r="A252" s="107"/>
      <x:c r="B252" s="107"/>
      <x:c r="C252" s="107"/>
      <x:c r="D252" s="107"/>
      <x:c r="E252" s="111"/>
      <x:c r="F252" s="109"/>
      <x:c r="G252" s="107"/>
      <x:c r="H252" s="111"/>
      <x:c r="I252" s="107"/>
      <x:c r="J252" t="str">
        <x:f>IF(COUNTA(A252:I252)=0,"",IF(OR(A252="",B252="",C252="",F252="",G252=""),"Complete entry",IF(F252&lt;=0,"Check amount",IF(G252="Cancelled","Cancelled",IF(G252="Paid",IF(H252="","Enter paid date","Paid"),IF(E252="","Enter due date",IF(E252&lt;'Data &amp; Targets'!$C$10,"Overdue",IF(E252&lt;'Data &amp; Targets'!$C$10+30,"Due next 30 days","Unpaid"))))))))</x:f>
      </x:c>
    </x:row>
    <x:row r="253" ht="22" customHeight="1">
      <x:c r="A253" s="107"/>
      <x:c r="B253" s="107"/>
      <x:c r="C253" s="107"/>
      <x:c r="D253" s="107"/>
      <x:c r="E253" s="111"/>
      <x:c r="F253" s="109"/>
      <x:c r="G253" s="107"/>
      <x:c r="H253" s="111"/>
      <x:c r="I253" s="107"/>
      <x:c r="J253" t="str">
        <x:f>IF(COUNTA(A253:I253)=0,"",IF(OR(A253="",B253="",C253="",F253="",G253=""),"Complete entry",IF(F253&lt;=0,"Check amount",IF(G253="Cancelled","Cancelled",IF(G253="Paid",IF(H253="","Enter paid date","Paid"),IF(E253="","Enter due date",IF(E253&lt;'Data &amp; Targets'!$C$10,"Overdue",IF(E253&lt;'Data &amp; Targets'!$C$10+30,"Due next 30 days","Unpaid"))))))))</x:f>
      </x:c>
    </x:row>
    <x:row r="254" ht="22" customHeight="1">
      <x:c r="A254" s="107"/>
      <x:c r="B254" s="107"/>
      <x:c r="C254" s="107"/>
      <x:c r="D254" s="107"/>
      <x:c r="E254" s="111"/>
      <x:c r="F254" s="109"/>
      <x:c r="G254" s="107"/>
      <x:c r="H254" s="111"/>
      <x:c r="I254" s="107"/>
      <x:c r="J254" t="str">
        <x:f>IF(COUNTA(A254:I254)=0,"",IF(OR(A254="",B254="",C254="",F254="",G254=""),"Complete entry",IF(F254&lt;=0,"Check amount",IF(G254="Cancelled","Cancelled",IF(G254="Paid",IF(H254="","Enter paid date","Paid"),IF(E254="","Enter due date",IF(E254&lt;'Data &amp; Targets'!$C$10,"Overdue",IF(E254&lt;'Data &amp; Targets'!$C$10+30,"Due next 30 days","Unpaid"))))))))</x:f>
      </x:c>
    </x:row>
    <x:row r="255" ht="22" customHeight="1">
      <x:c r="A255" s="107"/>
      <x:c r="B255" s="107"/>
      <x:c r="C255" s="107"/>
      <x:c r="D255" s="107"/>
      <x:c r="E255" s="111"/>
      <x:c r="F255" s="109"/>
      <x:c r="G255" s="107"/>
      <x:c r="H255" s="111"/>
      <x:c r="I255" s="107"/>
      <x:c r="J255" t="str">
        <x:f>IF(COUNTA(A255:I255)=0,"",IF(OR(A255="",B255="",C255="",F255="",G255=""),"Complete entry",IF(F255&lt;=0,"Check amount",IF(G255="Cancelled","Cancelled",IF(G255="Paid",IF(H255="","Enter paid date","Paid"),IF(E255="","Enter due date",IF(E255&lt;'Data &amp; Targets'!$C$10,"Overdue",IF(E255&lt;'Data &amp; Targets'!$C$10+30,"Due next 30 days","Unpaid"))))))))</x:f>
      </x:c>
    </x:row>
    <x:row r="256" ht="22" customHeight="1">
      <x:c r="A256" s="107"/>
      <x:c r="B256" s="107"/>
      <x:c r="C256" s="107"/>
      <x:c r="D256" s="107"/>
      <x:c r="E256" s="111"/>
      <x:c r="F256" s="109"/>
      <x:c r="G256" s="107"/>
      <x:c r="H256" s="111"/>
      <x:c r="I256" s="107"/>
      <x:c r="J256" t="str">
        <x:f>IF(COUNTA(A256:I256)=0,"",IF(OR(A256="",B256="",C256="",F256="",G256=""),"Complete entry",IF(F256&lt;=0,"Check amount",IF(G256="Cancelled","Cancelled",IF(G256="Paid",IF(H256="","Enter paid date","Paid"),IF(E256="","Enter due date",IF(E256&lt;'Data &amp; Targets'!$C$10,"Overdue",IF(E256&lt;'Data &amp; Targets'!$C$10+30,"Due next 30 days","Unpaid"))))))))</x:f>
      </x:c>
    </x:row>
    <x:row r="257" ht="22" customHeight="1">
      <x:c r="A257" s="107"/>
      <x:c r="B257" s="107"/>
      <x:c r="C257" s="107"/>
      <x:c r="D257" s="107"/>
      <x:c r="E257" s="111"/>
      <x:c r="F257" s="109"/>
      <x:c r="G257" s="107"/>
      <x:c r="H257" s="111"/>
      <x:c r="I257" s="107"/>
      <x:c r="J257" t="str">
        <x:f>IF(COUNTA(A257:I257)=0,"",IF(OR(A257="",B257="",C257="",F257="",G257=""),"Complete entry",IF(F257&lt;=0,"Check amount",IF(G257="Cancelled","Cancelled",IF(G257="Paid",IF(H257="","Enter paid date","Paid"),IF(E257="","Enter due date",IF(E257&lt;'Data &amp; Targets'!$C$10,"Overdue",IF(E257&lt;'Data &amp; Targets'!$C$10+30,"Due next 30 days","Unpaid"))))))))</x:f>
      </x:c>
    </x:row>
    <x:row r="258" ht="22" customHeight="1">
      <x:c r="A258" s="107"/>
      <x:c r="B258" s="107"/>
      <x:c r="C258" s="107"/>
      <x:c r="D258" s="107"/>
      <x:c r="E258" s="111"/>
      <x:c r="F258" s="109"/>
      <x:c r="G258" s="107"/>
      <x:c r="H258" s="111"/>
      <x:c r="I258" s="107"/>
      <x:c r="J258" t="str">
        <x:f>IF(COUNTA(A258:I258)=0,"",IF(OR(A258="",B258="",C258="",F258="",G258=""),"Complete entry",IF(F258&lt;=0,"Check amount",IF(G258="Cancelled","Cancelled",IF(G258="Paid",IF(H258="","Enter paid date","Paid"),IF(E258="","Enter due date",IF(E258&lt;'Data &amp; Targets'!$C$10,"Overdue",IF(E258&lt;'Data &amp; Targets'!$C$10+30,"Due next 30 days","Unpaid"))))))))</x:f>
      </x:c>
    </x:row>
    <x:row r="259" ht="22" customHeight="1">
      <x:c r="A259" s="107"/>
      <x:c r="B259" s="107"/>
      <x:c r="C259" s="107"/>
      <x:c r="D259" s="107"/>
      <x:c r="E259" s="111"/>
      <x:c r="F259" s="109"/>
      <x:c r="G259" s="107"/>
      <x:c r="H259" s="111"/>
      <x:c r="I259" s="107"/>
      <x:c r="J259" t="str">
        <x:f>IF(COUNTA(A259:I259)=0,"",IF(OR(A259="",B259="",C259="",F259="",G259=""),"Complete entry",IF(F259&lt;=0,"Check amount",IF(G259="Cancelled","Cancelled",IF(G259="Paid",IF(H259="","Enter paid date","Paid"),IF(E259="","Enter due date",IF(E259&lt;'Data &amp; Targets'!$C$10,"Overdue",IF(E259&lt;'Data &amp; Targets'!$C$10+30,"Due next 30 days","Unpaid"))))))))</x:f>
      </x:c>
    </x:row>
    <x:row r="260" ht="22" customHeight="1">
      <x:c r="A260" s="107"/>
      <x:c r="B260" s="107"/>
      <x:c r="C260" s="107"/>
      <x:c r="D260" s="107"/>
      <x:c r="E260" s="111"/>
      <x:c r="F260" s="109"/>
      <x:c r="G260" s="107"/>
      <x:c r="H260" s="111"/>
      <x:c r="I260" s="107"/>
      <x:c r="J260" t="str">
        <x:f>IF(COUNTA(A260:I260)=0,"",IF(OR(A260="",B260="",C260="",F260="",G260=""),"Complete entry",IF(F260&lt;=0,"Check amount",IF(G260="Cancelled","Cancelled",IF(G260="Paid",IF(H260="","Enter paid date","Paid"),IF(E260="","Enter due date",IF(E260&lt;'Data &amp; Targets'!$C$10,"Overdue",IF(E260&lt;'Data &amp; Targets'!$C$10+30,"Due next 30 days","Unpaid"))))))))</x:f>
      </x:c>
    </x:row>
    <x:row r="261" ht="22" customHeight="1">
      <x:c r="A261" s="107"/>
      <x:c r="B261" s="107"/>
      <x:c r="C261" s="107"/>
      <x:c r="D261" s="107"/>
      <x:c r="E261" s="111"/>
      <x:c r="F261" s="109"/>
      <x:c r="G261" s="107"/>
      <x:c r="H261" s="111"/>
      <x:c r="I261" s="107"/>
      <x:c r="J261" t="str">
        <x:f>IF(COUNTA(A261:I261)=0,"",IF(OR(A261="",B261="",C261="",F261="",G261=""),"Complete entry",IF(F261&lt;=0,"Check amount",IF(G261="Cancelled","Cancelled",IF(G261="Paid",IF(H261="","Enter paid date","Paid"),IF(E261="","Enter due date",IF(E261&lt;'Data &amp; Targets'!$C$10,"Overdue",IF(E261&lt;'Data &amp; Targets'!$C$10+30,"Due next 30 days","Unpaid"))))))))</x:f>
      </x:c>
    </x:row>
    <x:row r="262" ht="22" customHeight="1">
      <x:c r="A262" s="107"/>
      <x:c r="B262" s="107"/>
      <x:c r="C262" s="107"/>
      <x:c r="D262" s="107"/>
      <x:c r="E262" s="111"/>
      <x:c r="F262" s="109"/>
      <x:c r="G262" s="107"/>
      <x:c r="H262" s="111"/>
      <x:c r="I262" s="107"/>
      <x:c r="J262" t="str">
        <x:f>IF(COUNTA(A262:I262)=0,"",IF(OR(A262="",B262="",C262="",F262="",G262=""),"Complete entry",IF(F262&lt;=0,"Check amount",IF(G262="Cancelled","Cancelled",IF(G262="Paid",IF(H262="","Enter paid date","Paid"),IF(E262="","Enter due date",IF(E262&lt;'Data &amp; Targets'!$C$10,"Overdue",IF(E262&lt;'Data &amp; Targets'!$C$10+30,"Due next 30 days","Unpaid"))))))))</x:f>
      </x:c>
    </x:row>
    <x:row r="263" ht="22" customHeight="1">
      <x:c r="A263" s="107"/>
      <x:c r="B263" s="107"/>
      <x:c r="C263" s="107"/>
      <x:c r="D263" s="107"/>
      <x:c r="E263" s="111"/>
      <x:c r="F263" s="109"/>
      <x:c r="G263" s="107"/>
      <x:c r="H263" s="111"/>
      <x:c r="I263" s="107"/>
      <x:c r="J263" t="str">
        <x:f>IF(COUNTA(A263:I263)=0,"",IF(OR(A263="",B263="",C263="",F263="",G263=""),"Complete entry",IF(F263&lt;=0,"Check amount",IF(G263="Cancelled","Cancelled",IF(G263="Paid",IF(H263="","Enter paid date","Paid"),IF(E263="","Enter due date",IF(E263&lt;'Data &amp; Targets'!$C$10,"Overdue",IF(E263&lt;'Data &amp; Targets'!$C$10+30,"Due next 30 days","Unpaid"))))))))</x:f>
      </x:c>
    </x:row>
    <x:row r="264" ht="22" customHeight="1">
      <x:c r="A264" s="107"/>
      <x:c r="B264" s="107"/>
      <x:c r="C264" s="107"/>
      <x:c r="D264" s="107"/>
      <x:c r="E264" s="111"/>
      <x:c r="F264" s="109"/>
      <x:c r="G264" s="107"/>
      <x:c r="H264" s="111"/>
      <x:c r="I264" s="107"/>
      <x:c r="J264" t="str">
        <x:f>IF(COUNTA(A264:I264)=0,"",IF(OR(A264="",B264="",C264="",F264="",G264=""),"Complete entry",IF(F264&lt;=0,"Check amount",IF(G264="Cancelled","Cancelled",IF(G264="Paid",IF(H264="","Enter paid date","Paid"),IF(E264="","Enter due date",IF(E264&lt;'Data &amp; Targets'!$C$10,"Overdue",IF(E264&lt;'Data &amp; Targets'!$C$10+30,"Due next 30 days","Unpaid"))))))))</x:f>
      </x:c>
    </x:row>
    <x:row r="265" ht="22" customHeight="1">
      <x:c r="A265" s="107"/>
      <x:c r="B265" s="107"/>
      <x:c r="C265" s="107"/>
      <x:c r="D265" s="107"/>
      <x:c r="E265" s="111"/>
      <x:c r="F265" s="109"/>
      <x:c r="G265" s="107"/>
      <x:c r="H265" s="111"/>
      <x:c r="I265" s="107"/>
      <x:c r="J265" t="str">
        <x:f>IF(COUNTA(A265:I265)=0,"",IF(OR(A265="",B265="",C265="",F265="",G265=""),"Complete entry",IF(F265&lt;=0,"Check amount",IF(G265="Cancelled","Cancelled",IF(G265="Paid",IF(H265="","Enter paid date","Paid"),IF(E265="","Enter due date",IF(E265&lt;'Data &amp; Targets'!$C$10,"Overdue",IF(E265&lt;'Data &amp; Targets'!$C$10+30,"Due next 30 days","Unpaid"))))))))</x:f>
      </x:c>
    </x:row>
    <x:row r="266" ht="22" customHeight="1">
      <x:c r="A266" s="107"/>
      <x:c r="B266" s="107"/>
      <x:c r="C266" s="107"/>
      <x:c r="D266" s="107"/>
      <x:c r="E266" s="111"/>
      <x:c r="F266" s="109"/>
      <x:c r="G266" s="107"/>
      <x:c r="H266" s="111"/>
      <x:c r="I266" s="107"/>
      <x:c r="J266" t="str">
        <x:f>IF(COUNTA(A266:I266)=0,"",IF(OR(A266="",B266="",C266="",F266="",G266=""),"Complete entry",IF(F266&lt;=0,"Check amount",IF(G266="Cancelled","Cancelled",IF(G266="Paid",IF(H266="","Enter paid date","Paid"),IF(E266="","Enter due date",IF(E266&lt;'Data &amp; Targets'!$C$10,"Overdue",IF(E266&lt;'Data &amp; Targets'!$C$10+30,"Due next 30 days","Unpaid"))))))))</x:f>
      </x:c>
    </x:row>
    <x:row r="267" ht="22" customHeight="1">
      <x:c r="A267" s="107"/>
      <x:c r="B267" s="107"/>
      <x:c r="C267" s="107"/>
      <x:c r="D267" s="107"/>
      <x:c r="E267" s="111"/>
      <x:c r="F267" s="109"/>
      <x:c r="G267" s="107"/>
      <x:c r="H267" s="111"/>
      <x:c r="I267" s="107"/>
      <x:c r="J267" t="str">
        <x:f>IF(COUNTA(A267:I267)=0,"",IF(OR(A267="",B267="",C267="",F267="",G267=""),"Complete entry",IF(F267&lt;=0,"Check amount",IF(G267="Cancelled","Cancelled",IF(G267="Paid",IF(H267="","Enter paid date","Paid"),IF(E267="","Enter due date",IF(E267&lt;'Data &amp; Targets'!$C$10,"Overdue",IF(E267&lt;'Data &amp; Targets'!$C$10+30,"Due next 30 days","Unpaid"))))))))</x:f>
      </x:c>
    </x:row>
    <x:row r="268" ht="22" customHeight="1">
      <x:c r="A268" s="107"/>
      <x:c r="B268" s="107"/>
      <x:c r="C268" s="107"/>
      <x:c r="D268" s="107"/>
      <x:c r="E268" s="111"/>
      <x:c r="F268" s="109"/>
      <x:c r="G268" s="107"/>
      <x:c r="H268" s="111"/>
      <x:c r="I268" s="107"/>
      <x:c r="J268" t="str">
        <x:f>IF(COUNTA(A268:I268)=0,"",IF(OR(A268="",B268="",C268="",F268="",G268=""),"Complete entry",IF(F268&lt;=0,"Check amount",IF(G268="Cancelled","Cancelled",IF(G268="Paid",IF(H268="","Enter paid date","Paid"),IF(E268="","Enter due date",IF(E268&lt;'Data &amp; Targets'!$C$10,"Overdue",IF(E268&lt;'Data &amp; Targets'!$C$10+30,"Due next 30 days","Unpaid"))))))))</x:f>
      </x:c>
    </x:row>
    <x:row r="269" ht="22" customHeight="1">
      <x:c r="A269" s="107"/>
      <x:c r="B269" s="107"/>
      <x:c r="C269" s="107"/>
      <x:c r="D269" s="107"/>
      <x:c r="E269" s="111"/>
      <x:c r="F269" s="109"/>
      <x:c r="G269" s="107"/>
      <x:c r="H269" s="111"/>
      <x:c r="I269" s="107"/>
      <x:c r="J269" t="str">
        <x:f>IF(COUNTA(A269:I269)=0,"",IF(OR(A269="",B269="",C269="",F269="",G269=""),"Complete entry",IF(F269&lt;=0,"Check amount",IF(G269="Cancelled","Cancelled",IF(G269="Paid",IF(H269="","Enter paid date","Paid"),IF(E269="","Enter due date",IF(E269&lt;'Data &amp; Targets'!$C$10,"Overdue",IF(E269&lt;'Data &amp; Targets'!$C$10+30,"Due next 30 days","Unpaid"))))))))</x:f>
      </x:c>
    </x:row>
    <x:row r="270" ht="22" customHeight="1">
      <x:c r="A270" s="107"/>
      <x:c r="B270" s="107"/>
      <x:c r="C270" s="107"/>
      <x:c r="D270" s="107"/>
      <x:c r="E270" s="111"/>
      <x:c r="F270" s="109"/>
      <x:c r="G270" s="107"/>
      <x:c r="H270" s="111"/>
      <x:c r="I270" s="107"/>
      <x:c r="J270" t="str">
        <x:f>IF(COUNTA(A270:I270)=0,"",IF(OR(A270="",B270="",C270="",F270="",G270=""),"Complete entry",IF(F270&lt;=0,"Check amount",IF(G270="Cancelled","Cancelled",IF(G270="Paid",IF(H270="","Enter paid date","Paid"),IF(E270="","Enter due date",IF(E270&lt;'Data &amp; Targets'!$C$10,"Overdue",IF(E270&lt;'Data &amp; Targets'!$C$10+30,"Due next 30 days","Unpaid"))))))))</x:f>
      </x:c>
    </x:row>
    <x:row r="271" ht="22" customHeight="1">
      <x:c r="A271" s="107"/>
      <x:c r="B271" s="107"/>
      <x:c r="C271" s="107"/>
      <x:c r="D271" s="107"/>
      <x:c r="E271" s="111"/>
      <x:c r="F271" s="109"/>
      <x:c r="G271" s="107"/>
      <x:c r="H271" s="111"/>
      <x:c r="I271" s="107"/>
      <x:c r="J271" t="str">
        <x:f>IF(COUNTA(A271:I271)=0,"",IF(OR(A271="",B271="",C271="",F271="",G271=""),"Complete entry",IF(F271&lt;=0,"Check amount",IF(G271="Cancelled","Cancelled",IF(G271="Paid",IF(H271="","Enter paid date","Paid"),IF(E271="","Enter due date",IF(E271&lt;'Data &amp; Targets'!$C$10,"Overdue",IF(E271&lt;'Data &amp; Targets'!$C$10+30,"Due next 30 days","Unpaid"))))))))</x:f>
      </x:c>
    </x:row>
    <x:row r="272" ht="22" customHeight="1">
      <x:c r="A272" s="107"/>
      <x:c r="B272" s="107"/>
      <x:c r="C272" s="107"/>
      <x:c r="D272" s="107"/>
      <x:c r="E272" s="111"/>
      <x:c r="F272" s="109"/>
      <x:c r="G272" s="107"/>
      <x:c r="H272" s="111"/>
      <x:c r="I272" s="107"/>
      <x:c r="J272" t="str">
        <x:f>IF(COUNTA(A272:I272)=0,"",IF(OR(A272="",B272="",C272="",F272="",G272=""),"Complete entry",IF(F272&lt;=0,"Check amount",IF(G272="Cancelled","Cancelled",IF(G272="Paid",IF(H272="","Enter paid date","Paid"),IF(E272="","Enter due date",IF(E272&lt;'Data &amp; Targets'!$C$10,"Overdue",IF(E272&lt;'Data &amp; Targets'!$C$10+30,"Due next 30 days","Unpaid"))))))))</x:f>
      </x:c>
    </x:row>
    <x:row r="273" ht="22" customHeight="1">
      <x:c r="A273" s="107"/>
      <x:c r="B273" s="107"/>
      <x:c r="C273" s="107"/>
      <x:c r="D273" s="107"/>
      <x:c r="E273" s="111"/>
      <x:c r="F273" s="109"/>
      <x:c r="G273" s="107"/>
      <x:c r="H273" s="111"/>
      <x:c r="I273" s="107"/>
      <x:c r="J273" t="str">
        <x:f>IF(COUNTA(A273:I273)=0,"",IF(OR(A273="",B273="",C273="",F273="",G273=""),"Complete entry",IF(F273&lt;=0,"Check amount",IF(G273="Cancelled","Cancelled",IF(G273="Paid",IF(H273="","Enter paid date","Paid"),IF(E273="","Enter due date",IF(E273&lt;'Data &amp; Targets'!$C$10,"Overdue",IF(E273&lt;'Data &amp; Targets'!$C$10+30,"Due next 30 days","Unpaid"))))))))</x:f>
      </x:c>
    </x:row>
    <x:row r="274" ht="22" customHeight="1">
      <x:c r="A274" s="107"/>
      <x:c r="B274" s="107"/>
      <x:c r="C274" s="107"/>
      <x:c r="D274" s="107"/>
      <x:c r="E274" s="111"/>
      <x:c r="F274" s="109"/>
      <x:c r="G274" s="107"/>
      <x:c r="H274" s="111"/>
      <x:c r="I274" s="107"/>
      <x:c r="J274" t="str">
        <x:f>IF(COUNTA(A274:I274)=0,"",IF(OR(A274="",B274="",C274="",F274="",G274=""),"Complete entry",IF(F274&lt;=0,"Check amount",IF(G274="Cancelled","Cancelled",IF(G274="Paid",IF(H274="","Enter paid date","Paid"),IF(E274="","Enter due date",IF(E274&lt;'Data &amp; Targets'!$C$10,"Overdue",IF(E274&lt;'Data &amp; Targets'!$C$10+30,"Due next 30 days","Unpaid"))))))))</x:f>
      </x:c>
    </x:row>
    <x:row r="275" ht="22" customHeight="1">
      <x:c r="A275" s="107"/>
      <x:c r="B275" s="107"/>
      <x:c r="C275" s="107"/>
      <x:c r="D275" s="107"/>
      <x:c r="E275" s="111"/>
      <x:c r="F275" s="109"/>
      <x:c r="G275" s="107"/>
      <x:c r="H275" s="111"/>
      <x:c r="I275" s="107"/>
      <x:c r="J275" t="str">
        <x:f>IF(COUNTA(A275:I275)=0,"",IF(OR(A275="",B275="",C275="",F275="",G275=""),"Complete entry",IF(F275&lt;=0,"Check amount",IF(G275="Cancelled","Cancelled",IF(G275="Paid",IF(H275="","Enter paid date","Paid"),IF(E275="","Enter due date",IF(E275&lt;'Data &amp; Targets'!$C$10,"Overdue",IF(E275&lt;'Data &amp; Targets'!$C$10+30,"Due next 30 days","Unpaid"))))))))</x:f>
      </x:c>
    </x:row>
    <x:row r="276" ht="22" customHeight="1">
      <x:c r="A276" s="107"/>
      <x:c r="B276" s="107"/>
      <x:c r="C276" s="107"/>
      <x:c r="D276" s="107"/>
      <x:c r="E276" s="111"/>
      <x:c r="F276" s="109"/>
      <x:c r="G276" s="107"/>
      <x:c r="H276" s="111"/>
      <x:c r="I276" s="107"/>
      <x:c r="J276" t="str">
        <x:f>IF(COUNTA(A276:I276)=0,"",IF(OR(A276="",B276="",C276="",F276="",G276=""),"Complete entry",IF(F276&lt;=0,"Check amount",IF(G276="Cancelled","Cancelled",IF(G276="Paid",IF(H276="","Enter paid date","Paid"),IF(E276="","Enter due date",IF(E276&lt;'Data &amp; Targets'!$C$10,"Overdue",IF(E276&lt;'Data &amp; Targets'!$C$10+30,"Due next 30 days","Unpaid"))))))))</x:f>
      </x:c>
    </x:row>
    <x:row r="277" ht="22" customHeight="1">
      <x:c r="A277" s="107"/>
      <x:c r="B277" s="107"/>
      <x:c r="C277" s="107"/>
      <x:c r="D277" s="107"/>
      <x:c r="E277" s="111"/>
      <x:c r="F277" s="109"/>
      <x:c r="G277" s="107"/>
      <x:c r="H277" s="111"/>
      <x:c r="I277" s="107"/>
      <x:c r="J277" t="str">
        <x:f>IF(COUNTA(A277:I277)=0,"",IF(OR(A277="",B277="",C277="",F277="",G277=""),"Complete entry",IF(F277&lt;=0,"Check amount",IF(G277="Cancelled","Cancelled",IF(G277="Paid",IF(H277="","Enter paid date","Paid"),IF(E277="","Enter due date",IF(E277&lt;'Data &amp; Targets'!$C$10,"Overdue",IF(E277&lt;'Data &amp; Targets'!$C$10+30,"Due next 30 days","Unpaid"))))))))</x:f>
      </x:c>
    </x:row>
    <x:row r="278" ht="22" customHeight="1">
      <x:c r="A278" s="107"/>
      <x:c r="B278" s="107"/>
      <x:c r="C278" s="107"/>
      <x:c r="D278" s="107"/>
      <x:c r="E278" s="111"/>
      <x:c r="F278" s="109"/>
      <x:c r="G278" s="107"/>
      <x:c r="H278" s="111"/>
      <x:c r="I278" s="107"/>
      <x:c r="J278" t="str">
        <x:f>IF(COUNTA(A278:I278)=0,"",IF(OR(A278="",B278="",C278="",F278="",G278=""),"Complete entry",IF(F278&lt;=0,"Check amount",IF(G278="Cancelled","Cancelled",IF(G278="Paid",IF(H278="","Enter paid date","Paid"),IF(E278="","Enter due date",IF(E278&lt;'Data &amp; Targets'!$C$10,"Overdue",IF(E278&lt;'Data &amp; Targets'!$C$10+30,"Due next 30 days","Unpaid"))))))))</x:f>
      </x:c>
    </x:row>
    <x:row r="279" ht="22" customHeight="1">
      <x:c r="A279" s="107"/>
      <x:c r="B279" s="107"/>
      <x:c r="C279" s="107"/>
      <x:c r="D279" s="107"/>
      <x:c r="E279" s="111"/>
      <x:c r="F279" s="109"/>
      <x:c r="G279" s="107"/>
      <x:c r="H279" s="111"/>
      <x:c r="I279" s="107"/>
      <x:c r="J279" t="str">
        <x:f>IF(COUNTA(A279:I279)=0,"",IF(OR(A279="",B279="",C279="",F279="",G279=""),"Complete entry",IF(F279&lt;=0,"Check amount",IF(G279="Cancelled","Cancelled",IF(G279="Paid",IF(H279="","Enter paid date","Paid"),IF(E279="","Enter due date",IF(E279&lt;'Data &amp; Targets'!$C$10,"Overdue",IF(E279&lt;'Data &amp; Targets'!$C$10+30,"Due next 30 days","Unpaid"))))))))</x:f>
      </x:c>
    </x:row>
    <x:row r="280" ht="22" customHeight="1">
      <x:c r="A280" s="107"/>
      <x:c r="B280" s="107"/>
      <x:c r="C280" s="107"/>
      <x:c r="D280" s="107"/>
      <x:c r="E280" s="111"/>
      <x:c r="F280" s="109"/>
      <x:c r="G280" s="107"/>
      <x:c r="H280" s="111"/>
      <x:c r="I280" s="107"/>
      <x:c r="J280" t="str">
        <x:f>IF(COUNTA(A280:I280)=0,"",IF(OR(A280="",B280="",C280="",F280="",G280=""),"Complete entry",IF(F280&lt;=0,"Check amount",IF(G280="Cancelled","Cancelled",IF(G280="Paid",IF(H280="","Enter paid date","Paid"),IF(E280="","Enter due date",IF(E280&lt;'Data &amp; Targets'!$C$10,"Overdue",IF(E280&lt;'Data &amp; Targets'!$C$10+30,"Due next 30 days","Unpaid"))))))))</x:f>
      </x:c>
    </x:row>
    <x:row r="281" ht="22" customHeight="1">
      <x:c r="A281" s="107"/>
      <x:c r="B281" s="107"/>
      <x:c r="C281" s="107"/>
      <x:c r="D281" s="107"/>
      <x:c r="E281" s="111"/>
      <x:c r="F281" s="109"/>
      <x:c r="G281" s="107"/>
      <x:c r="H281" s="111"/>
      <x:c r="I281" s="107"/>
      <x:c r="J281" t="str">
        <x:f>IF(COUNTA(A281:I281)=0,"",IF(OR(A281="",B281="",C281="",F281="",G281=""),"Complete entry",IF(F281&lt;=0,"Check amount",IF(G281="Cancelled","Cancelled",IF(G281="Paid",IF(H281="","Enter paid date","Paid"),IF(E281="","Enter due date",IF(E281&lt;'Data &amp; Targets'!$C$10,"Overdue",IF(E281&lt;'Data &amp; Targets'!$C$10+30,"Due next 30 days","Unpaid"))))))))</x:f>
      </x:c>
    </x:row>
    <x:row r="282" ht="22" customHeight="1">
      <x:c r="A282" s="107"/>
      <x:c r="B282" s="107"/>
      <x:c r="C282" s="107"/>
      <x:c r="D282" s="107"/>
      <x:c r="E282" s="111"/>
      <x:c r="F282" s="109"/>
      <x:c r="G282" s="107"/>
      <x:c r="H282" s="111"/>
      <x:c r="I282" s="107"/>
      <x:c r="J282" t="str">
        <x:f>IF(COUNTA(A282:I282)=0,"",IF(OR(A282="",B282="",C282="",F282="",G282=""),"Complete entry",IF(F282&lt;=0,"Check amount",IF(G282="Cancelled","Cancelled",IF(G282="Paid",IF(H282="","Enter paid date","Paid"),IF(E282="","Enter due date",IF(E282&lt;'Data &amp; Targets'!$C$10,"Overdue",IF(E282&lt;'Data &amp; Targets'!$C$10+30,"Due next 30 days","Unpaid"))))))))</x:f>
      </x:c>
    </x:row>
    <x:row r="283" ht="22" customHeight="1">
      <x:c r="A283" s="107"/>
      <x:c r="B283" s="107"/>
      <x:c r="C283" s="107"/>
      <x:c r="D283" s="107"/>
      <x:c r="E283" s="111"/>
      <x:c r="F283" s="109"/>
      <x:c r="G283" s="107"/>
      <x:c r="H283" s="111"/>
      <x:c r="I283" s="107"/>
      <x:c r="J283" t="str">
        <x:f>IF(COUNTA(A283:I283)=0,"",IF(OR(A283="",B283="",C283="",F283="",G283=""),"Complete entry",IF(F283&lt;=0,"Check amount",IF(G283="Cancelled","Cancelled",IF(G283="Paid",IF(H283="","Enter paid date","Paid"),IF(E283="","Enter due date",IF(E283&lt;'Data &amp; Targets'!$C$10,"Overdue",IF(E283&lt;'Data &amp; Targets'!$C$10+30,"Due next 30 days","Unpaid"))))))))</x:f>
      </x:c>
    </x:row>
    <x:row r="284" ht="22" customHeight="1">
      <x:c r="A284" s="107"/>
      <x:c r="B284" s="107"/>
      <x:c r="C284" s="107"/>
      <x:c r="D284" s="107"/>
      <x:c r="E284" s="111"/>
      <x:c r="F284" s="109"/>
      <x:c r="G284" s="107"/>
      <x:c r="H284" s="111"/>
      <x:c r="I284" s="107"/>
      <x:c r="J284" t="str">
        <x:f>IF(COUNTA(A284:I284)=0,"",IF(OR(A284="",B284="",C284="",F284="",G284=""),"Complete entry",IF(F284&lt;=0,"Check amount",IF(G284="Cancelled","Cancelled",IF(G284="Paid",IF(H284="","Enter paid date","Paid"),IF(E284="","Enter due date",IF(E284&lt;'Data &amp; Targets'!$C$10,"Overdue",IF(E284&lt;'Data &amp; Targets'!$C$10+30,"Due next 30 days","Unpaid"))))))))</x:f>
      </x:c>
    </x:row>
    <x:row r="285" ht="22" customHeight="1">
      <x:c r="A285" s="107"/>
      <x:c r="B285" s="107"/>
      <x:c r="C285" s="107"/>
      <x:c r="D285" s="107"/>
      <x:c r="E285" s="111"/>
      <x:c r="F285" s="109"/>
      <x:c r="G285" s="107"/>
      <x:c r="H285" s="111"/>
      <x:c r="I285" s="107"/>
      <x:c r="J285" t="str">
        <x:f>IF(COUNTA(A285:I285)=0,"",IF(OR(A285="",B285="",C285="",F285="",G285=""),"Complete entry",IF(F285&lt;=0,"Check amount",IF(G285="Cancelled","Cancelled",IF(G285="Paid",IF(H285="","Enter paid date","Paid"),IF(E285="","Enter due date",IF(E285&lt;'Data &amp; Targets'!$C$10,"Overdue",IF(E285&lt;'Data &amp; Targets'!$C$10+30,"Due next 30 days","Unpaid"))))))))</x:f>
      </x:c>
    </x:row>
    <x:row r="286" ht="22" customHeight="1">
      <x:c r="A286" s="107"/>
      <x:c r="B286" s="107"/>
      <x:c r="C286" s="107"/>
      <x:c r="D286" s="107"/>
      <x:c r="E286" s="111"/>
      <x:c r="F286" s="109"/>
      <x:c r="G286" s="107"/>
      <x:c r="H286" s="111"/>
      <x:c r="I286" s="107"/>
      <x:c r="J286" t="str">
        <x:f>IF(COUNTA(A286:I286)=0,"",IF(OR(A286="",B286="",C286="",F286="",G286=""),"Complete entry",IF(F286&lt;=0,"Check amount",IF(G286="Cancelled","Cancelled",IF(G286="Paid",IF(H286="","Enter paid date","Paid"),IF(E286="","Enter due date",IF(E286&lt;'Data &amp; Targets'!$C$10,"Overdue",IF(E286&lt;'Data &amp; Targets'!$C$10+30,"Due next 30 days","Unpaid"))))))))</x:f>
      </x:c>
    </x:row>
    <x:row r="287" ht="22" customHeight="1">
      <x:c r="A287" s="107"/>
      <x:c r="B287" s="107"/>
      <x:c r="C287" s="107"/>
      <x:c r="D287" s="107"/>
      <x:c r="E287" s="111"/>
      <x:c r="F287" s="109"/>
      <x:c r="G287" s="107"/>
      <x:c r="H287" s="111"/>
      <x:c r="I287" s="107"/>
      <x:c r="J287" t="str">
        <x:f>IF(COUNTA(A287:I287)=0,"",IF(OR(A287="",B287="",C287="",F287="",G287=""),"Complete entry",IF(F287&lt;=0,"Check amount",IF(G287="Cancelled","Cancelled",IF(G287="Paid",IF(H287="","Enter paid date","Paid"),IF(E287="","Enter due date",IF(E287&lt;'Data &amp; Targets'!$C$10,"Overdue",IF(E287&lt;'Data &amp; Targets'!$C$10+30,"Due next 30 days","Unpaid"))))))))</x:f>
      </x:c>
    </x:row>
    <x:row r="288" ht="22" customHeight="1">
      <x:c r="A288" s="107"/>
      <x:c r="B288" s="107"/>
      <x:c r="C288" s="107"/>
      <x:c r="D288" s="107"/>
      <x:c r="E288" s="111"/>
      <x:c r="F288" s="109"/>
      <x:c r="G288" s="107"/>
      <x:c r="H288" s="111"/>
      <x:c r="I288" s="107"/>
      <x:c r="J288" t="str">
        <x:f>IF(COUNTA(A288:I288)=0,"",IF(OR(A288="",B288="",C288="",F288="",G288=""),"Complete entry",IF(F288&lt;=0,"Check amount",IF(G288="Cancelled","Cancelled",IF(G288="Paid",IF(H288="","Enter paid date","Paid"),IF(E288="","Enter due date",IF(E288&lt;'Data &amp; Targets'!$C$10,"Overdue",IF(E288&lt;'Data &amp; Targets'!$C$10+30,"Due next 30 days","Unpaid"))))))))</x:f>
      </x:c>
    </x:row>
    <x:row r="289" ht="22" customHeight="1">
      <x:c r="A289" s="107"/>
      <x:c r="B289" s="107"/>
      <x:c r="C289" s="107"/>
      <x:c r="D289" s="107"/>
      <x:c r="E289" s="111"/>
      <x:c r="F289" s="109"/>
      <x:c r="G289" s="107"/>
      <x:c r="H289" s="111"/>
      <x:c r="I289" s="107"/>
      <x:c r="J289" t="str">
        <x:f>IF(COUNTA(A289:I289)=0,"",IF(OR(A289="",B289="",C289="",F289="",G289=""),"Complete entry",IF(F289&lt;=0,"Check amount",IF(G289="Cancelled","Cancelled",IF(G289="Paid",IF(H289="","Enter paid date","Paid"),IF(E289="","Enter due date",IF(E289&lt;'Data &amp; Targets'!$C$10,"Overdue",IF(E289&lt;'Data &amp; Targets'!$C$10+30,"Due next 30 days","Unpaid"))))))))</x:f>
      </x:c>
    </x:row>
    <x:row r="290" ht="22" customHeight="1">
      <x:c r="A290" s="107"/>
      <x:c r="B290" s="107"/>
      <x:c r="C290" s="107"/>
      <x:c r="D290" s="107"/>
      <x:c r="E290" s="111"/>
      <x:c r="F290" s="109"/>
      <x:c r="G290" s="107"/>
      <x:c r="H290" s="111"/>
      <x:c r="I290" s="107"/>
      <x:c r="J290" t="str">
        <x:f>IF(COUNTA(A290:I290)=0,"",IF(OR(A290="",B290="",C290="",F290="",G290=""),"Complete entry",IF(F290&lt;=0,"Check amount",IF(G290="Cancelled","Cancelled",IF(G290="Paid",IF(H290="","Enter paid date","Paid"),IF(E290="","Enter due date",IF(E290&lt;'Data &amp; Targets'!$C$10,"Overdue",IF(E290&lt;'Data &amp; Targets'!$C$10+30,"Due next 30 days","Unpaid"))))))))</x:f>
      </x:c>
    </x:row>
    <x:row r="291" ht="22" customHeight="1">
      <x:c r="A291" s="107"/>
      <x:c r="B291" s="107"/>
      <x:c r="C291" s="107"/>
      <x:c r="D291" s="107"/>
      <x:c r="E291" s="111"/>
      <x:c r="F291" s="109"/>
      <x:c r="G291" s="107"/>
      <x:c r="H291" s="111"/>
      <x:c r="I291" s="107"/>
      <x:c r="J291" t="str">
        <x:f>IF(COUNTA(A291:I291)=0,"",IF(OR(A291="",B291="",C291="",F291="",G291=""),"Complete entry",IF(F291&lt;=0,"Check amount",IF(G291="Cancelled","Cancelled",IF(G291="Paid",IF(H291="","Enter paid date","Paid"),IF(E291="","Enter due date",IF(E291&lt;'Data &amp; Targets'!$C$10,"Overdue",IF(E291&lt;'Data &amp; Targets'!$C$10+30,"Due next 30 days","Unpaid"))))))))</x:f>
      </x:c>
    </x:row>
    <x:row r="292" ht="22" customHeight="1">
      <x:c r="A292" s="107"/>
      <x:c r="B292" s="107"/>
      <x:c r="C292" s="107"/>
      <x:c r="D292" s="107"/>
      <x:c r="E292" s="111"/>
      <x:c r="F292" s="109"/>
      <x:c r="G292" s="107"/>
      <x:c r="H292" s="111"/>
      <x:c r="I292" s="107"/>
      <x:c r="J292" t="str">
        <x:f>IF(COUNTA(A292:I292)=0,"",IF(OR(A292="",B292="",C292="",F292="",G292=""),"Complete entry",IF(F292&lt;=0,"Check amount",IF(G292="Cancelled","Cancelled",IF(G292="Paid",IF(H292="","Enter paid date","Paid"),IF(E292="","Enter due date",IF(E292&lt;'Data &amp; Targets'!$C$10,"Overdue",IF(E292&lt;'Data &amp; Targets'!$C$10+30,"Due next 30 days","Unpaid"))))))))</x:f>
      </x:c>
    </x:row>
    <x:row r="293" ht="22" customHeight="1">
      <x:c r="A293" s="107"/>
      <x:c r="B293" s="107"/>
      <x:c r="C293" s="107"/>
      <x:c r="D293" s="107"/>
      <x:c r="E293" s="111"/>
      <x:c r="F293" s="109"/>
      <x:c r="G293" s="107"/>
      <x:c r="H293" s="111"/>
      <x:c r="I293" s="107"/>
      <x:c r="J293" t="str">
        <x:f>IF(COUNTA(A293:I293)=0,"",IF(OR(A293="",B293="",C293="",F293="",G293=""),"Complete entry",IF(F293&lt;=0,"Check amount",IF(G293="Cancelled","Cancelled",IF(G293="Paid",IF(H293="","Enter paid date","Paid"),IF(E293="","Enter due date",IF(E293&lt;'Data &amp; Targets'!$C$10,"Overdue",IF(E293&lt;'Data &amp; Targets'!$C$10+30,"Due next 30 days","Unpaid"))))))))</x:f>
      </x:c>
    </x:row>
    <x:row r="294" ht="22" customHeight="1">
      <x:c r="A294" s="107"/>
      <x:c r="B294" s="107"/>
      <x:c r="C294" s="107"/>
      <x:c r="D294" s="107"/>
      <x:c r="E294" s="111"/>
      <x:c r="F294" s="109"/>
      <x:c r="G294" s="107"/>
      <x:c r="H294" s="111"/>
      <x:c r="I294" s="107"/>
      <x:c r="J294" t="str">
        <x:f>IF(COUNTA(A294:I294)=0,"",IF(OR(A294="",B294="",C294="",F294="",G294=""),"Complete entry",IF(F294&lt;=0,"Check amount",IF(G294="Cancelled","Cancelled",IF(G294="Paid",IF(H294="","Enter paid date","Paid"),IF(E294="","Enter due date",IF(E294&lt;'Data &amp; Targets'!$C$10,"Overdue",IF(E294&lt;'Data &amp; Targets'!$C$10+30,"Due next 30 days","Unpaid"))))))))</x:f>
      </x:c>
    </x:row>
    <x:row r="295" ht="22" customHeight="1">
      <x:c r="A295" s="107"/>
      <x:c r="B295" s="107"/>
      <x:c r="C295" s="107"/>
      <x:c r="D295" s="107"/>
      <x:c r="E295" s="111"/>
      <x:c r="F295" s="109"/>
      <x:c r="G295" s="107"/>
      <x:c r="H295" s="111"/>
      <x:c r="I295" s="107"/>
      <x:c r="J295" t="str">
        <x:f>IF(COUNTA(A295:I295)=0,"",IF(OR(A295="",B295="",C295="",F295="",G295=""),"Complete entry",IF(F295&lt;=0,"Check amount",IF(G295="Cancelled","Cancelled",IF(G295="Paid",IF(H295="","Enter paid date","Paid"),IF(E295="","Enter due date",IF(E295&lt;'Data &amp; Targets'!$C$10,"Overdue",IF(E295&lt;'Data &amp; Targets'!$C$10+30,"Due next 30 days","Unpaid"))))))))</x:f>
      </x:c>
    </x:row>
    <x:row r="296" ht="22" customHeight="1">
      <x:c r="A296" s="107"/>
      <x:c r="B296" s="107"/>
      <x:c r="C296" s="107"/>
      <x:c r="D296" s="107"/>
      <x:c r="E296" s="111"/>
      <x:c r="F296" s="109"/>
      <x:c r="G296" s="107"/>
      <x:c r="H296" s="111"/>
      <x:c r="I296" s="107"/>
      <x:c r="J296" t="str">
        <x:f>IF(COUNTA(A296:I296)=0,"",IF(OR(A296="",B296="",C296="",F296="",G296=""),"Complete entry",IF(F296&lt;=0,"Check amount",IF(G296="Cancelled","Cancelled",IF(G296="Paid",IF(H296="","Enter paid date","Paid"),IF(E296="","Enter due date",IF(E296&lt;'Data &amp; Targets'!$C$10,"Overdue",IF(E296&lt;'Data &amp; Targets'!$C$10+30,"Due next 30 days","Unpaid"))))))))</x:f>
      </x:c>
    </x:row>
    <x:row r="297" ht="22" customHeight="1">
      <x:c r="A297" s="107"/>
      <x:c r="B297" s="107"/>
      <x:c r="C297" s="107"/>
      <x:c r="D297" s="107"/>
      <x:c r="E297" s="111"/>
      <x:c r="F297" s="109"/>
      <x:c r="G297" s="107"/>
      <x:c r="H297" s="111"/>
      <x:c r="I297" s="107"/>
      <x:c r="J297" t="str">
        <x:f>IF(COUNTA(A297:I297)=0,"",IF(OR(A297="",B297="",C297="",F297="",G297=""),"Complete entry",IF(F297&lt;=0,"Check amount",IF(G297="Cancelled","Cancelled",IF(G297="Paid",IF(H297="","Enter paid date","Paid"),IF(E297="","Enter due date",IF(E297&lt;'Data &amp; Targets'!$C$10,"Overdue",IF(E297&lt;'Data &amp; Targets'!$C$10+30,"Due next 30 days","Unpaid"))))))))</x:f>
      </x:c>
    </x:row>
    <x:row r="298" ht="22" customHeight="1">
      <x:c r="A298" s="107"/>
      <x:c r="B298" s="107"/>
      <x:c r="C298" s="107"/>
      <x:c r="D298" s="107"/>
      <x:c r="E298" s="111"/>
      <x:c r="F298" s="109"/>
      <x:c r="G298" s="107"/>
      <x:c r="H298" s="111"/>
      <x:c r="I298" s="107"/>
      <x:c r="J298" t="str">
        <x:f>IF(COUNTA(A298:I298)=0,"",IF(OR(A298="",B298="",C298="",F298="",G298=""),"Complete entry",IF(F298&lt;=0,"Check amount",IF(G298="Cancelled","Cancelled",IF(G298="Paid",IF(H298="","Enter paid date","Paid"),IF(E298="","Enter due date",IF(E298&lt;'Data &amp; Targets'!$C$10,"Overdue",IF(E298&lt;'Data &amp; Targets'!$C$10+30,"Due next 30 days","Unpaid"))))))))</x:f>
      </x:c>
    </x:row>
    <x:row r="299" ht="22" customHeight="1">
      <x:c r="A299" s="107"/>
      <x:c r="B299" s="107"/>
      <x:c r="C299" s="107"/>
      <x:c r="D299" s="107"/>
      <x:c r="E299" s="111"/>
      <x:c r="F299" s="109"/>
      <x:c r="G299" s="107"/>
      <x:c r="H299" s="111"/>
      <x:c r="I299" s="107"/>
      <x:c r="J299" t="str">
        <x:f>IF(COUNTA(A299:I299)=0,"",IF(OR(A299="",B299="",C299="",F299="",G299=""),"Complete entry",IF(F299&lt;=0,"Check amount",IF(G299="Cancelled","Cancelled",IF(G299="Paid",IF(H299="","Enter paid date","Paid"),IF(E299="","Enter due date",IF(E299&lt;'Data &amp; Targets'!$C$10,"Overdue",IF(E299&lt;'Data &amp; Targets'!$C$10+30,"Due next 30 days","Unpaid"))))))))</x:f>
      </x:c>
    </x:row>
    <x:row r="300" ht="22" customHeight="1">
      <x:c r="A300" s="107"/>
      <x:c r="B300" s="107"/>
      <x:c r="C300" s="107"/>
      <x:c r="D300" s="107"/>
      <x:c r="E300" s="111"/>
      <x:c r="F300" s="109"/>
      <x:c r="G300" s="107"/>
      <x:c r="H300" s="111"/>
      <x:c r="I300" s="107"/>
      <x:c r="J300" t="str">
        <x:f>IF(COUNTA(A300:I300)=0,"",IF(OR(A300="",B300="",C300="",F300="",G300=""),"Complete entry",IF(F300&lt;=0,"Check amount",IF(G300="Cancelled","Cancelled",IF(G300="Paid",IF(H300="","Enter paid date","Paid"),IF(E300="","Enter due date",IF(E300&lt;'Data &amp; Targets'!$C$10,"Overdue",IF(E300&lt;'Data &amp; Targets'!$C$10+30,"Due next 30 days","Unpaid"))))))))</x:f>
      </x:c>
    </x:row>
    <x:row r="301" ht="22" customHeight="1">
      <x:c r="A301" s="107"/>
      <x:c r="B301" s="107"/>
      <x:c r="C301" s="107"/>
      <x:c r="D301" s="107"/>
      <x:c r="E301" s="111"/>
      <x:c r="F301" s="109"/>
      <x:c r="G301" s="107"/>
      <x:c r="H301" s="111"/>
      <x:c r="I301" s="107"/>
      <x:c r="J301" t="str">
        <x:f>IF(COUNTA(A301:I301)=0,"",IF(OR(A301="",B301="",C301="",F301="",G301=""),"Complete entry",IF(F301&lt;=0,"Check amount",IF(G301="Cancelled","Cancelled",IF(G301="Paid",IF(H301="","Enter paid date","Paid"),IF(E301="","Enter due date",IF(E301&lt;'Data &amp; Targets'!$C$10,"Overdue",IF(E301&lt;'Data &amp; Targets'!$C$10+30,"Due next 30 days","Unpaid"))))))))</x:f>
      </x:c>
    </x:row>
    <x:row r="302" ht="22" customHeight="1">
      <x:c r="A302" s="107"/>
      <x:c r="B302" s="107"/>
      <x:c r="C302" s="107"/>
      <x:c r="D302" s="107"/>
      <x:c r="E302" s="111"/>
      <x:c r="F302" s="109"/>
      <x:c r="G302" s="107"/>
      <x:c r="H302" s="111"/>
      <x:c r="I302" s="107"/>
      <x:c r="J302" t="str">
        <x:f>IF(COUNTA(A302:I302)=0,"",IF(OR(A302="",B302="",C302="",F302="",G302=""),"Complete entry",IF(F302&lt;=0,"Check amount",IF(G302="Cancelled","Cancelled",IF(G302="Paid",IF(H302="","Enter paid date","Paid"),IF(E302="","Enter due date",IF(E302&lt;'Data &amp; Targets'!$C$10,"Overdue",IF(E302&lt;'Data &amp; Targets'!$C$10+30,"Due next 30 days","Unpaid"))))))))</x:f>
      </x:c>
    </x:row>
    <x:row r="303" ht="22" customHeight="1">
      <x:c r="A303" s="107"/>
      <x:c r="B303" s="107"/>
      <x:c r="C303" s="107"/>
      <x:c r="D303" s="107"/>
      <x:c r="E303" s="111"/>
      <x:c r="F303" s="109"/>
      <x:c r="G303" s="107"/>
      <x:c r="H303" s="111"/>
      <x:c r="I303" s="107"/>
      <x:c r="J303" t="str">
        <x:f>IF(COUNTA(A303:I303)=0,"",IF(OR(A303="",B303="",C303="",F303="",G303=""),"Complete entry",IF(F303&lt;=0,"Check amount",IF(G303="Cancelled","Cancelled",IF(G303="Paid",IF(H303="","Enter paid date","Paid"),IF(E303="","Enter due date",IF(E303&lt;'Data &amp; Targets'!$C$10,"Overdue",IF(E303&lt;'Data &amp; Targets'!$C$10+30,"Due next 30 days","Unpaid"))))))))</x:f>
      </x:c>
    </x:row>
    <x:row r="304" ht="22" customHeight="1">
      <x:c r="A304" s="107"/>
      <x:c r="B304" s="107"/>
      <x:c r="C304" s="107"/>
      <x:c r="D304" s="107"/>
      <x:c r="E304" s="111"/>
      <x:c r="F304" s="109"/>
      <x:c r="G304" s="107"/>
      <x:c r="H304" s="111"/>
      <x:c r="I304" s="107"/>
      <x:c r="J304" t="str">
        <x:f>IF(COUNTA(A304:I304)=0,"",IF(OR(A304="",B304="",C304="",F304="",G304=""),"Complete entry",IF(F304&lt;=0,"Check amount",IF(G304="Cancelled","Cancelled",IF(G304="Paid",IF(H304="","Enter paid date","Paid"),IF(E304="","Enter due date",IF(E304&lt;'Data &amp; Targets'!$C$10,"Overdue",IF(E304&lt;'Data &amp; Targets'!$C$10+30,"Due next 30 days","Unpaid"))))))))</x:f>
      </x:c>
    </x:row>
    <x:row r="305" ht="22" customHeight="1">
      <x:c r="A305" s="107"/>
      <x:c r="B305" s="107"/>
      <x:c r="C305" s="107"/>
      <x:c r="D305" s="107"/>
      <x:c r="E305" s="111"/>
      <x:c r="F305" s="109"/>
      <x:c r="G305" s="107"/>
      <x:c r="H305" s="111"/>
      <x:c r="I305" s="107"/>
      <x:c r="J305" t="str">
        <x:f>IF(COUNTA(A305:I305)=0,"",IF(OR(A305="",B305="",C305="",F305="",G305=""),"Complete entry",IF(F305&lt;=0,"Check amount",IF(G305="Cancelled","Cancelled",IF(G305="Paid",IF(H305="","Enter paid date","Paid"),IF(E305="","Enter due date",IF(E305&lt;'Data &amp; Targets'!$C$10,"Overdue",IF(E305&lt;'Data &amp; Targets'!$C$10+30,"Due next 30 days","Unpaid"))))))))</x:f>
      </x:c>
    </x:row>
    <x:row r="306" ht="22" customHeight="1">
      <x:c r="A306" s="107"/>
      <x:c r="B306" s="107"/>
      <x:c r="C306" s="107"/>
      <x:c r="D306" s="107"/>
      <x:c r="E306" s="111"/>
      <x:c r="F306" s="109"/>
      <x:c r="G306" s="107"/>
      <x:c r="H306" s="111"/>
      <x:c r="I306" s="107"/>
      <x:c r="J306" t="str">
        <x:f>IF(COUNTA(A306:I306)=0,"",IF(OR(A306="",B306="",C306="",F306="",G306=""),"Complete entry",IF(F306&lt;=0,"Check amount",IF(G306="Cancelled","Cancelled",IF(G306="Paid",IF(H306="","Enter paid date","Paid"),IF(E306="","Enter due date",IF(E306&lt;'Data &amp; Targets'!$C$10,"Overdue",IF(E306&lt;'Data &amp; Targets'!$C$10+30,"Due next 30 days","Unpaid"))))))))</x:f>
      </x:c>
    </x:row>
    <x:row r="307" ht="22" customHeight="1">
      <x:c r="A307" s="107"/>
      <x:c r="B307" s="107"/>
      <x:c r="C307" s="107"/>
      <x:c r="D307" s="107"/>
      <x:c r="E307" s="111"/>
      <x:c r="F307" s="109"/>
      <x:c r="G307" s="107"/>
      <x:c r="H307" s="111"/>
      <x:c r="I307" s="107"/>
      <x:c r="J307" t="str">
        <x:f>IF(COUNTA(A307:I307)=0,"",IF(OR(A307="",B307="",C307="",F307="",G307=""),"Complete entry",IF(F307&lt;=0,"Check amount",IF(G307="Cancelled","Cancelled",IF(G307="Paid",IF(H307="","Enter paid date","Paid"),IF(E307="","Enter due date",IF(E307&lt;'Data &amp; Targets'!$C$10,"Overdue",IF(E307&lt;'Data &amp; Targets'!$C$10+30,"Due next 30 days","Unpaid"))))))))</x:f>
      </x:c>
    </x:row>
    <x:row r="308" ht="22" customHeight="1">
      <x:c r="A308" s="107"/>
      <x:c r="B308" s="107"/>
      <x:c r="C308" s="107"/>
      <x:c r="D308" s="107"/>
      <x:c r="E308" s="111"/>
      <x:c r="F308" s="109"/>
      <x:c r="G308" s="107"/>
      <x:c r="H308" s="111"/>
      <x:c r="I308" s="107"/>
      <x:c r="J308" t="str">
        <x:f>IF(COUNTA(A308:I308)=0,"",IF(OR(A308="",B308="",C308="",F308="",G308=""),"Complete entry",IF(F308&lt;=0,"Check amount",IF(G308="Cancelled","Cancelled",IF(G308="Paid",IF(H308="","Enter paid date","Paid"),IF(E308="","Enter due date",IF(E308&lt;'Data &amp; Targets'!$C$10,"Overdue",IF(E308&lt;'Data &amp; Targets'!$C$10+30,"Due next 30 days","Unpaid"))))))))</x:f>
      </x:c>
    </x:row>
    <x:row r="309" ht="22" customHeight="1">
      <x:c r="A309" s="107"/>
      <x:c r="B309" s="107"/>
      <x:c r="C309" s="107"/>
      <x:c r="D309" s="107"/>
      <x:c r="E309" s="111"/>
      <x:c r="F309" s="109"/>
      <x:c r="G309" s="107"/>
      <x:c r="H309" s="111"/>
      <x:c r="I309" s="107"/>
      <x:c r="J309" t="str">
        <x:f>IF(COUNTA(A309:I309)=0,"",IF(OR(A309="",B309="",C309="",F309="",G309=""),"Complete entry",IF(F309&lt;=0,"Check amount",IF(G309="Cancelled","Cancelled",IF(G309="Paid",IF(H309="","Enter paid date","Paid"),IF(E309="","Enter due date",IF(E309&lt;'Data &amp; Targets'!$C$10,"Overdue",IF(E309&lt;'Data &amp; Targets'!$C$10+30,"Due next 30 days","Unpaid"))))))))</x:f>
      </x:c>
    </x:row>
    <x:row r="310" ht="22" customHeight="1">
      <x:c r="A310" s="107"/>
      <x:c r="B310" s="107"/>
      <x:c r="C310" s="107"/>
      <x:c r="D310" s="107"/>
      <x:c r="E310" s="111"/>
      <x:c r="F310" s="109"/>
      <x:c r="G310" s="107"/>
      <x:c r="H310" s="111"/>
      <x:c r="I310" s="107"/>
      <x:c r="J310" t="str">
        <x:f>IF(COUNTA(A310:I310)=0,"",IF(OR(A310="",B310="",C310="",F310="",G310=""),"Complete entry",IF(F310&lt;=0,"Check amount",IF(G310="Cancelled","Cancelled",IF(G310="Paid",IF(H310="","Enter paid date","Paid"),IF(E310="","Enter due date",IF(E310&lt;'Data &amp; Targets'!$C$10,"Overdue",IF(E310&lt;'Data &amp; Targets'!$C$10+30,"Due next 30 days","Unpaid"))))))))</x:f>
      </x:c>
    </x:row>
    <x:row r="311" ht="22" customHeight="1">
      <x:c r="A311" s="107"/>
      <x:c r="B311" s="107"/>
      <x:c r="C311" s="107"/>
      <x:c r="D311" s="107"/>
      <x:c r="E311" s="111"/>
      <x:c r="F311" s="109"/>
      <x:c r="G311" s="107"/>
      <x:c r="H311" s="111"/>
      <x:c r="I311" s="107"/>
      <x:c r="J311" t="str">
        <x:f>IF(COUNTA(A311:I311)=0,"",IF(OR(A311="",B311="",C311="",F311="",G311=""),"Complete entry",IF(F311&lt;=0,"Check amount",IF(G311="Cancelled","Cancelled",IF(G311="Paid",IF(H311="","Enter paid date","Paid"),IF(E311="","Enter due date",IF(E311&lt;'Data &amp; Targets'!$C$10,"Overdue",IF(E311&lt;'Data &amp; Targets'!$C$10+30,"Due next 30 days","Unpaid"))))))))</x:f>
      </x:c>
    </x:row>
    <x:row r="312" ht="22" customHeight="1">
      <x:c r="A312" s="107"/>
      <x:c r="B312" s="107"/>
      <x:c r="C312" s="107"/>
      <x:c r="D312" s="107"/>
      <x:c r="E312" s="111"/>
      <x:c r="F312" s="109"/>
      <x:c r="G312" s="107"/>
      <x:c r="H312" s="111"/>
      <x:c r="I312" s="107"/>
      <x:c r="J312" t="str">
        <x:f>IF(COUNTA(A312:I312)=0,"",IF(OR(A312="",B312="",C312="",F312="",G312=""),"Complete entry",IF(F312&lt;=0,"Check amount",IF(G312="Cancelled","Cancelled",IF(G312="Paid",IF(H312="","Enter paid date","Paid"),IF(E312="","Enter due date",IF(E312&lt;'Data &amp; Targets'!$C$10,"Overdue",IF(E312&lt;'Data &amp; Targets'!$C$10+30,"Due next 30 days","Unpaid"))))))))</x:f>
      </x:c>
    </x:row>
    <x:row r="313" ht="22" customHeight="1">
      <x:c r="A313" s="107"/>
      <x:c r="B313" s="107"/>
      <x:c r="C313" s="107"/>
      <x:c r="D313" s="107"/>
      <x:c r="E313" s="111"/>
      <x:c r="F313" s="109"/>
      <x:c r="G313" s="107"/>
      <x:c r="H313" s="111"/>
      <x:c r="I313" s="107"/>
      <x:c r="J313" t="str">
        <x:f>IF(COUNTA(A313:I313)=0,"",IF(OR(A313="",B313="",C313="",F313="",G313=""),"Complete entry",IF(F313&lt;=0,"Check amount",IF(G313="Cancelled","Cancelled",IF(G313="Paid",IF(H313="","Enter paid date","Paid"),IF(E313="","Enter due date",IF(E313&lt;'Data &amp; Targets'!$C$10,"Overdue",IF(E313&lt;'Data &amp; Targets'!$C$10+30,"Due next 30 days","Unpaid"))))))))</x:f>
      </x:c>
    </x:row>
    <x:row r="314" ht="22" customHeight="1">
      <x:c r="A314" s="107"/>
      <x:c r="B314" s="107"/>
      <x:c r="C314" s="107"/>
      <x:c r="D314" s="107"/>
      <x:c r="E314" s="111"/>
      <x:c r="F314" s="109"/>
      <x:c r="G314" s="107"/>
      <x:c r="H314" s="111"/>
      <x:c r="I314" s="107"/>
      <x:c r="J314" t="str">
        <x:f>IF(COUNTA(A314:I314)=0,"",IF(OR(A314="",B314="",C314="",F314="",G314=""),"Complete entry",IF(F314&lt;=0,"Check amount",IF(G314="Cancelled","Cancelled",IF(G314="Paid",IF(H314="","Enter paid date","Paid"),IF(E314="","Enter due date",IF(E314&lt;'Data &amp; Targets'!$C$10,"Overdue",IF(E314&lt;'Data &amp; Targets'!$C$10+30,"Due next 30 days","Unpaid"))))))))</x:f>
      </x:c>
    </x:row>
    <x:row r="315" ht="22" customHeight="1">
      <x:c r="A315" s="107"/>
      <x:c r="B315" s="107"/>
      <x:c r="C315" s="107"/>
      <x:c r="D315" s="107"/>
      <x:c r="E315" s="111"/>
      <x:c r="F315" s="109"/>
      <x:c r="G315" s="107"/>
      <x:c r="H315" s="111"/>
      <x:c r="I315" s="107"/>
      <x:c r="J315" t="str">
        <x:f>IF(COUNTA(A315:I315)=0,"",IF(OR(A315="",B315="",C315="",F315="",G315=""),"Complete entry",IF(F315&lt;=0,"Check amount",IF(G315="Cancelled","Cancelled",IF(G315="Paid",IF(H315="","Enter paid date","Paid"),IF(E315="","Enter due date",IF(E315&lt;'Data &amp; Targets'!$C$10,"Overdue",IF(E315&lt;'Data &amp; Targets'!$C$10+30,"Due next 30 days","Unpaid"))))))))</x:f>
      </x:c>
    </x:row>
    <x:row r="316" ht="22" customHeight="1">
      <x:c r="A316" s="107"/>
      <x:c r="B316" s="107"/>
      <x:c r="C316" s="107"/>
      <x:c r="D316" s="107"/>
      <x:c r="E316" s="111"/>
      <x:c r="F316" s="109"/>
      <x:c r="G316" s="107"/>
      <x:c r="H316" s="111"/>
      <x:c r="I316" s="107"/>
      <x:c r="J316" t="str">
        <x:f>IF(COUNTA(A316:I316)=0,"",IF(OR(A316="",B316="",C316="",F316="",G316=""),"Complete entry",IF(F316&lt;=0,"Check amount",IF(G316="Cancelled","Cancelled",IF(G316="Paid",IF(H316="","Enter paid date","Paid"),IF(E316="","Enter due date",IF(E316&lt;'Data &amp; Targets'!$C$10,"Overdue",IF(E316&lt;'Data &amp; Targets'!$C$10+30,"Due next 30 days","Unpaid"))))))))</x:f>
      </x:c>
    </x:row>
    <x:row r="317" ht="22" customHeight="1">
      <x:c r="A317" s="107"/>
      <x:c r="B317" s="107"/>
      <x:c r="C317" s="107"/>
      <x:c r="D317" s="107"/>
      <x:c r="E317" s="111"/>
      <x:c r="F317" s="109"/>
      <x:c r="G317" s="107"/>
      <x:c r="H317" s="111"/>
      <x:c r="I317" s="107"/>
      <x:c r="J317" t="str">
        <x:f>IF(COUNTA(A317:I317)=0,"",IF(OR(A317="",B317="",C317="",F317="",G317=""),"Complete entry",IF(F317&lt;=0,"Check amount",IF(G317="Cancelled","Cancelled",IF(G317="Paid",IF(H317="","Enter paid date","Paid"),IF(E317="","Enter due date",IF(E317&lt;'Data &amp; Targets'!$C$10,"Overdue",IF(E317&lt;'Data &amp; Targets'!$C$10+30,"Due next 30 days","Unpaid"))))))))</x:f>
      </x:c>
    </x:row>
    <x:row r="318" ht="22" customHeight="1">
      <x:c r="A318" s="107"/>
      <x:c r="B318" s="107"/>
      <x:c r="C318" s="107"/>
      <x:c r="D318" s="107"/>
      <x:c r="E318" s="111"/>
      <x:c r="F318" s="109"/>
      <x:c r="G318" s="107"/>
      <x:c r="H318" s="111"/>
      <x:c r="I318" s="107"/>
      <x:c r="J318" t="str">
        <x:f>IF(COUNTA(A318:I318)=0,"",IF(OR(A318="",B318="",C318="",F318="",G318=""),"Complete entry",IF(F318&lt;=0,"Check amount",IF(G318="Cancelled","Cancelled",IF(G318="Paid",IF(H318="","Enter paid date","Paid"),IF(E318="","Enter due date",IF(E318&lt;'Data &amp; Targets'!$C$10,"Overdue",IF(E318&lt;'Data &amp; Targets'!$C$10+30,"Due next 30 days","Unpaid"))))))))</x:f>
      </x:c>
    </x:row>
    <x:row r="319" ht="22" customHeight="1">
      <x:c r="A319" s="107"/>
      <x:c r="B319" s="107"/>
      <x:c r="C319" s="107"/>
      <x:c r="D319" s="107"/>
      <x:c r="E319" s="111"/>
      <x:c r="F319" s="109"/>
      <x:c r="G319" s="107"/>
      <x:c r="H319" s="111"/>
      <x:c r="I319" s="107"/>
      <x:c r="J319" t="str">
        <x:f>IF(COUNTA(A319:I319)=0,"",IF(OR(A319="",B319="",C319="",F319="",G319=""),"Complete entry",IF(F319&lt;=0,"Check amount",IF(G319="Cancelled","Cancelled",IF(G319="Paid",IF(H319="","Enter paid date","Paid"),IF(E319="","Enter due date",IF(E319&lt;'Data &amp; Targets'!$C$10,"Overdue",IF(E319&lt;'Data &amp; Targets'!$C$10+30,"Due next 30 days","Unpaid"))))))))</x:f>
      </x:c>
    </x:row>
    <x:row r="320" ht="22" customHeight="1">
      <x:c r="A320" s="107"/>
      <x:c r="B320" s="107"/>
      <x:c r="C320" s="107"/>
      <x:c r="D320" s="107"/>
      <x:c r="E320" s="111"/>
      <x:c r="F320" s="109"/>
      <x:c r="G320" s="107"/>
      <x:c r="H320" s="111"/>
      <x:c r="I320" s="107"/>
      <x:c r="J320" t="str">
        <x:f>IF(COUNTA(A320:I320)=0,"",IF(OR(A320="",B320="",C320="",F320="",G320=""),"Complete entry",IF(F320&lt;=0,"Check amount",IF(G320="Cancelled","Cancelled",IF(G320="Paid",IF(H320="","Enter paid date","Paid"),IF(E320="","Enter due date",IF(E320&lt;'Data &amp; Targets'!$C$10,"Overdue",IF(E320&lt;'Data &amp; Targets'!$C$10+30,"Due next 30 days","Unpaid"))))))))</x:f>
      </x:c>
    </x:row>
    <x:row r="321" ht="22" customHeight="1">
      <x:c r="A321" s="107"/>
      <x:c r="B321" s="107"/>
      <x:c r="C321" s="107"/>
      <x:c r="D321" s="107"/>
      <x:c r="E321" s="111"/>
      <x:c r="F321" s="109"/>
      <x:c r="G321" s="107"/>
      <x:c r="H321" s="111"/>
      <x:c r="I321" s="107"/>
      <x:c r="J321" t="str">
        <x:f>IF(COUNTA(A321:I321)=0,"",IF(OR(A321="",B321="",C321="",F321="",G321=""),"Complete entry",IF(F321&lt;=0,"Check amount",IF(G321="Cancelled","Cancelled",IF(G321="Paid",IF(H321="","Enter paid date","Paid"),IF(E321="","Enter due date",IF(E321&lt;'Data &amp; Targets'!$C$10,"Overdue",IF(E321&lt;'Data &amp; Targets'!$C$10+30,"Due next 30 days","Unpaid"))))))))</x:f>
      </x:c>
    </x:row>
    <x:row r="322" ht="22" customHeight="1">
      <x:c r="A322" s="107"/>
      <x:c r="B322" s="107"/>
      <x:c r="C322" s="107"/>
      <x:c r="D322" s="107"/>
      <x:c r="E322" s="111"/>
      <x:c r="F322" s="109"/>
      <x:c r="G322" s="107"/>
      <x:c r="H322" s="111"/>
      <x:c r="I322" s="107"/>
      <x:c r="J322" t="str">
        <x:f>IF(COUNTA(A322:I322)=0,"",IF(OR(A322="",B322="",C322="",F322="",G322=""),"Complete entry",IF(F322&lt;=0,"Check amount",IF(G322="Cancelled","Cancelled",IF(G322="Paid",IF(H322="","Enter paid date","Paid"),IF(E322="","Enter due date",IF(E322&lt;'Data &amp; Targets'!$C$10,"Overdue",IF(E322&lt;'Data &amp; Targets'!$C$10+30,"Due next 30 days","Unpaid"))))))))</x:f>
      </x:c>
    </x:row>
    <x:row r="323" ht="22" customHeight="1">
      <x:c r="A323" s="107"/>
      <x:c r="B323" s="107"/>
      <x:c r="C323" s="107"/>
      <x:c r="D323" s="107"/>
      <x:c r="E323" s="111"/>
      <x:c r="F323" s="109"/>
      <x:c r="G323" s="107"/>
      <x:c r="H323" s="111"/>
      <x:c r="I323" s="107"/>
      <x:c r="J323" t="str">
        <x:f>IF(COUNTA(A323:I323)=0,"",IF(OR(A323="",B323="",C323="",F323="",G323=""),"Complete entry",IF(F323&lt;=0,"Check amount",IF(G323="Cancelled","Cancelled",IF(G323="Paid",IF(H323="","Enter paid date","Paid"),IF(E323="","Enter due date",IF(E323&lt;'Data &amp; Targets'!$C$10,"Overdue",IF(E323&lt;'Data &amp; Targets'!$C$10+30,"Due next 30 days","Unpaid"))))))))</x:f>
      </x:c>
    </x:row>
    <x:row r="324" ht="22" customHeight="1">
      <x:c r="A324" s="107"/>
      <x:c r="B324" s="107"/>
      <x:c r="C324" s="107"/>
      <x:c r="D324" s="107"/>
      <x:c r="E324" s="111"/>
      <x:c r="F324" s="109"/>
      <x:c r="G324" s="107"/>
      <x:c r="H324" s="111"/>
      <x:c r="I324" s="107"/>
      <x:c r="J324" t="str">
        <x:f>IF(COUNTA(A324:I324)=0,"",IF(OR(A324="",B324="",C324="",F324="",G324=""),"Complete entry",IF(F324&lt;=0,"Check amount",IF(G324="Cancelled","Cancelled",IF(G324="Paid",IF(H324="","Enter paid date","Paid"),IF(E324="","Enter due date",IF(E324&lt;'Data &amp; Targets'!$C$10,"Overdue",IF(E324&lt;'Data &amp; Targets'!$C$10+30,"Due next 30 days","Unpaid"))))))))</x:f>
      </x:c>
    </x:row>
    <x:row r="325" ht="22" customHeight="1">
      <x:c r="A325" s="107"/>
      <x:c r="B325" s="107"/>
      <x:c r="C325" s="107"/>
      <x:c r="D325" s="107"/>
      <x:c r="E325" s="111"/>
      <x:c r="F325" s="109"/>
      <x:c r="G325" s="107"/>
      <x:c r="H325" s="111"/>
      <x:c r="I325" s="107"/>
      <x:c r="J325" t="str">
        <x:f>IF(COUNTA(A325:I325)=0,"",IF(OR(A325="",B325="",C325="",F325="",G325=""),"Complete entry",IF(F325&lt;=0,"Check amount",IF(G325="Cancelled","Cancelled",IF(G325="Paid",IF(H325="","Enter paid date","Paid"),IF(E325="","Enter due date",IF(E325&lt;'Data &amp; Targets'!$C$10,"Overdue",IF(E325&lt;'Data &amp; Targets'!$C$10+30,"Due next 30 days","Unpaid"))))))))</x:f>
      </x:c>
    </x:row>
    <x:row r="326" ht="22" customHeight="1">
      <x:c r="A326" s="107"/>
      <x:c r="B326" s="107"/>
      <x:c r="C326" s="107"/>
      <x:c r="D326" s="107"/>
      <x:c r="E326" s="111"/>
      <x:c r="F326" s="109"/>
      <x:c r="G326" s="107"/>
      <x:c r="H326" s="111"/>
      <x:c r="I326" s="107"/>
      <x:c r="J326" t="str">
        <x:f>IF(COUNTA(A326:I326)=0,"",IF(OR(A326="",B326="",C326="",F326="",G326=""),"Complete entry",IF(F326&lt;=0,"Check amount",IF(G326="Cancelled","Cancelled",IF(G326="Paid",IF(H326="","Enter paid date","Paid"),IF(E326="","Enter due date",IF(E326&lt;'Data &amp; Targets'!$C$10,"Overdue",IF(E326&lt;'Data &amp; Targets'!$C$10+30,"Due next 30 days","Unpaid"))))))))</x:f>
      </x:c>
    </x:row>
    <x:row r="327" ht="22" customHeight="1">
      <x:c r="A327" s="107"/>
      <x:c r="B327" s="107"/>
      <x:c r="C327" s="107"/>
      <x:c r="D327" s="107"/>
      <x:c r="E327" s="111"/>
      <x:c r="F327" s="109"/>
      <x:c r="G327" s="107"/>
      <x:c r="H327" s="111"/>
      <x:c r="I327" s="107"/>
      <x:c r="J327" t="str">
        <x:f>IF(COUNTA(A327:I327)=0,"",IF(OR(A327="",B327="",C327="",F327="",G327=""),"Complete entry",IF(F327&lt;=0,"Check amount",IF(G327="Cancelled","Cancelled",IF(G327="Paid",IF(H327="","Enter paid date","Paid"),IF(E327="","Enter due date",IF(E327&lt;'Data &amp; Targets'!$C$10,"Overdue",IF(E327&lt;'Data &amp; Targets'!$C$10+30,"Due next 30 days","Unpaid"))))))))</x:f>
      </x:c>
    </x:row>
    <x:row r="328" ht="22" customHeight="1">
      <x:c r="A328" s="107"/>
      <x:c r="B328" s="107"/>
      <x:c r="C328" s="107"/>
      <x:c r="D328" s="107"/>
      <x:c r="E328" s="111"/>
      <x:c r="F328" s="109"/>
      <x:c r="G328" s="107"/>
      <x:c r="H328" s="111"/>
      <x:c r="I328" s="107"/>
      <x:c r="J328" t="str">
        <x:f>IF(COUNTA(A328:I328)=0,"",IF(OR(A328="",B328="",C328="",F328="",G328=""),"Complete entry",IF(F328&lt;=0,"Check amount",IF(G328="Cancelled","Cancelled",IF(G328="Paid",IF(H328="","Enter paid date","Paid"),IF(E328="","Enter due date",IF(E328&lt;'Data &amp; Targets'!$C$10,"Overdue",IF(E328&lt;'Data &amp; Targets'!$C$10+30,"Due next 30 days","Unpaid"))))))))</x:f>
      </x:c>
    </x:row>
    <x:row r="329" ht="22" customHeight="1">
      <x:c r="A329" s="107"/>
      <x:c r="B329" s="107"/>
      <x:c r="C329" s="107"/>
      <x:c r="D329" s="107"/>
      <x:c r="E329" s="111"/>
      <x:c r="F329" s="109"/>
      <x:c r="G329" s="107"/>
      <x:c r="H329" s="111"/>
      <x:c r="I329" s="107"/>
      <x:c r="J329" t="str">
        <x:f>IF(COUNTA(A329:I329)=0,"",IF(OR(A329="",B329="",C329="",F329="",G329=""),"Complete entry",IF(F329&lt;=0,"Check amount",IF(G329="Cancelled","Cancelled",IF(G329="Paid",IF(H329="","Enter paid date","Paid"),IF(E329="","Enter due date",IF(E329&lt;'Data &amp; Targets'!$C$10,"Overdue",IF(E329&lt;'Data &amp; Targets'!$C$10+30,"Due next 30 days","Unpaid"))))))))</x:f>
      </x:c>
    </x:row>
    <x:row r="330" ht="22" customHeight="1">
      <x:c r="A330" s="107"/>
      <x:c r="B330" s="107"/>
      <x:c r="C330" s="107"/>
      <x:c r="D330" s="107"/>
      <x:c r="E330" s="111"/>
      <x:c r="F330" s="109"/>
      <x:c r="G330" s="107"/>
      <x:c r="H330" s="111"/>
      <x:c r="I330" s="107"/>
      <x:c r="J330" t="str">
        <x:f>IF(COUNTA(A330:I330)=0,"",IF(OR(A330="",B330="",C330="",F330="",G330=""),"Complete entry",IF(F330&lt;=0,"Check amount",IF(G330="Cancelled","Cancelled",IF(G330="Paid",IF(H330="","Enter paid date","Paid"),IF(E330="","Enter due date",IF(E330&lt;'Data &amp; Targets'!$C$10,"Overdue",IF(E330&lt;'Data &amp; Targets'!$C$10+30,"Due next 30 days","Unpaid"))))))))</x:f>
      </x:c>
    </x:row>
    <x:row r="331" ht="22" customHeight="1">
      <x:c r="A331" s="107"/>
      <x:c r="B331" s="107"/>
      <x:c r="C331" s="107"/>
      <x:c r="D331" s="107"/>
      <x:c r="E331" s="111"/>
      <x:c r="F331" s="109"/>
      <x:c r="G331" s="107"/>
      <x:c r="H331" s="111"/>
      <x:c r="I331" s="107"/>
      <x:c r="J331" t="str">
        <x:f>IF(COUNTA(A331:I331)=0,"",IF(OR(A331="",B331="",C331="",F331="",G331=""),"Complete entry",IF(F331&lt;=0,"Check amount",IF(G331="Cancelled","Cancelled",IF(G331="Paid",IF(H331="","Enter paid date","Paid"),IF(E331="","Enter due date",IF(E331&lt;'Data &amp; Targets'!$C$10,"Overdue",IF(E331&lt;'Data &amp; Targets'!$C$10+30,"Due next 30 days","Unpaid"))))))))</x:f>
      </x:c>
    </x:row>
    <x:row r="332" ht="22" customHeight="1">
      <x:c r="A332" s="107"/>
      <x:c r="B332" s="107"/>
      <x:c r="C332" s="107"/>
      <x:c r="D332" s="107"/>
      <x:c r="E332" s="111"/>
      <x:c r="F332" s="109"/>
      <x:c r="G332" s="107"/>
      <x:c r="H332" s="111"/>
      <x:c r="I332" s="107"/>
      <x:c r="J332" t="str">
        <x:f>IF(COUNTA(A332:I332)=0,"",IF(OR(A332="",B332="",C332="",F332="",G332=""),"Complete entry",IF(F332&lt;=0,"Check amount",IF(G332="Cancelled","Cancelled",IF(G332="Paid",IF(H332="","Enter paid date","Paid"),IF(E332="","Enter due date",IF(E332&lt;'Data &amp; Targets'!$C$10,"Overdue",IF(E332&lt;'Data &amp; Targets'!$C$10+30,"Due next 30 days","Unpaid"))))))))</x:f>
      </x:c>
    </x:row>
    <x:row r="333" ht="22" customHeight="1">
      <x:c r="A333" s="107"/>
      <x:c r="B333" s="107"/>
      <x:c r="C333" s="107"/>
      <x:c r="D333" s="107"/>
      <x:c r="E333" s="111"/>
      <x:c r="F333" s="109"/>
      <x:c r="G333" s="107"/>
      <x:c r="H333" s="111"/>
      <x:c r="I333" s="107"/>
      <x:c r="J333" t="str">
        <x:f>IF(COUNTA(A333:I333)=0,"",IF(OR(A333="",B333="",C333="",F333="",G333=""),"Complete entry",IF(F333&lt;=0,"Check amount",IF(G333="Cancelled","Cancelled",IF(G333="Paid",IF(H333="","Enter paid date","Paid"),IF(E333="","Enter due date",IF(E333&lt;'Data &amp; Targets'!$C$10,"Overdue",IF(E333&lt;'Data &amp; Targets'!$C$10+30,"Due next 30 days","Unpaid"))))))))</x:f>
      </x:c>
    </x:row>
    <x:row r="334" ht="22" customHeight="1">
      <x:c r="A334" s="107"/>
      <x:c r="B334" s="107"/>
      <x:c r="C334" s="107"/>
      <x:c r="D334" s="107"/>
      <x:c r="E334" s="111"/>
      <x:c r="F334" s="109"/>
      <x:c r="G334" s="107"/>
      <x:c r="H334" s="111"/>
      <x:c r="I334" s="107"/>
      <x:c r="J334" t="str">
        <x:f>IF(COUNTA(A334:I334)=0,"",IF(OR(A334="",B334="",C334="",F334="",G334=""),"Complete entry",IF(F334&lt;=0,"Check amount",IF(G334="Cancelled","Cancelled",IF(G334="Paid",IF(H334="","Enter paid date","Paid"),IF(E334="","Enter due date",IF(E334&lt;'Data &amp; Targets'!$C$10,"Overdue",IF(E334&lt;'Data &amp; Targets'!$C$10+30,"Due next 30 days","Unpaid"))))))))</x:f>
      </x:c>
    </x:row>
    <x:row r="335" ht="22" customHeight="1">
      <x:c r="A335" s="107"/>
      <x:c r="B335" s="107"/>
      <x:c r="C335" s="107"/>
      <x:c r="D335" s="107"/>
      <x:c r="E335" s="111"/>
      <x:c r="F335" s="109"/>
      <x:c r="G335" s="107"/>
      <x:c r="H335" s="111"/>
      <x:c r="I335" s="107"/>
      <x:c r="J335" t="str">
        <x:f>IF(COUNTA(A335:I335)=0,"",IF(OR(A335="",B335="",C335="",F335="",G335=""),"Complete entry",IF(F335&lt;=0,"Check amount",IF(G335="Cancelled","Cancelled",IF(G335="Paid",IF(H335="","Enter paid date","Paid"),IF(E335="","Enter due date",IF(E335&lt;'Data &amp; Targets'!$C$10,"Overdue",IF(E335&lt;'Data &amp; Targets'!$C$10+30,"Due next 30 days","Unpaid"))))))))</x:f>
      </x:c>
    </x:row>
    <x:row r="336" ht="22" customHeight="1">
      <x:c r="A336" s="107"/>
      <x:c r="B336" s="107"/>
      <x:c r="C336" s="107"/>
      <x:c r="D336" s="107"/>
      <x:c r="E336" s="111"/>
      <x:c r="F336" s="109"/>
      <x:c r="G336" s="107"/>
      <x:c r="H336" s="111"/>
      <x:c r="I336" s="107"/>
      <x:c r="J336" t="str">
        <x:f>IF(COUNTA(A336:I336)=0,"",IF(OR(A336="",B336="",C336="",F336="",G336=""),"Complete entry",IF(F336&lt;=0,"Check amount",IF(G336="Cancelled","Cancelled",IF(G336="Paid",IF(H336="","Enter paid date","Paid"),IF(E336="","Enter due date",IF(E336&lt;'Data &amp; Targets'!$C$10,"Overdue",IF(E336&lt;'Data &amp; Targets'!$C$10+30,"Due next 30 days","Unpaid"))))))))</x:f>
      </x:c>
    </x:row>
    <x:row r="337" ht="22" customHeight="1">
      <x:c r="A337" s="107"/>
      <x:c r="B337" s="107"/>
      <x:c r="C337" s="107"/>
      <x:c r="D337" s="107"/>
      <x:c r="E337" s="111"/>
      <x:c r="F337" s="109"/>
      <x:c r="G337" s="107"/>
      <x:c r="H337" s="111"/>
      <x:c r="I337" s="107"/>
      <x:c r="J337" t="str">
        <x:f>IF(COUNTA(A337:I337)=0,"",IF(OR(A337="",B337="",C337="",F337="",G337=""),"Complete entry",IF(F337&lt;=0,"Check amount",IF(G337="Cancelled","Cancelled",IF(G337="Paid",IF(H337="","Enter paid date","Paid"),IF(E337="","Enter due date",IF(E337&lt;'Data &amp; Targets'!$C$10,"Overdue",IF(E337&lt;'Data &amp; Targets'!$C$10+30,"Due next 30 days","Unpaid"))))))))</x:f>
      </x:c>
    </x:row>
    <x:row r="338" ht="22" customHeight="1">
      <x:c r="A338" s="107"/>
      <x:c r="B338" s="107"/>
      <x:c r="C338" s="107"/>
      <x:c r="D338" s="107"/>
      <x:c r="E338" s="111"/>
      <x:c r="F338" s="109"/>
      <x:c r="G338" s="107"/>
      <x:c r="H338" s="111"/>
      <x:c r="I338" s="107"/>
      <x:c r="J338" t="str">
        <x:f>IF(COUNTA(A338:I338)=0,"",IF(OR(A338="",B338="",C338="",F338="",G338=""),"Complete entry",IF(F338&lt;=0,"Check amount",IF(G338="Cancelled","Cancelled",IF(G338="Paid",IF(H338="","Enter paid date","Paid"),IF(E338="","Enter due date",IF(E338&lt;'Data &amp; Targets'!$C$10,"Overdue",IF(E338&lt;'Data &amp; Targets'!$C$10+30,"Due next 30 days","Unpaid"))))))))</x:f>
      </x:c>
    </x:row>
    <x:row r="339" ht="22" customHeight="1">
      <x:c r="A339" s="107"/>
      <x:c r="B339" s="107"/>
      <x:c r="C339" s="107"/>
      <x:c r="D339" s="107"/>
      <x:c r="E339" s="111"/>
      <x:c r="F339" s="109"/>
      <x:c r="G339" s="107"/>
      <x:c r="H339" s="111"/>
      <x:c r="I339" s="107"/>
      <x:c r="J339" t="str">
        <x:f>IF(COUNTA(A339:I339)=0,"",IF(OR(A339="",B339="",C339="",F339="",G339=""),"Complete entry",IF(F339&lt;=0,"Check amount",IF(G339="Cancelled","Cancelled",IF(G339="Paid",IF(H339="","Enter paid date","Paid"),IF(E339="","Enter due date",IF(E339&lt;'Data &amp; Targets'!$C$10,"Overdue",IF(E339&lt;'Data &amp; Targets'!$C$10+30,"Due next 30 days","Unpaid"))))))))</x:f>
      </x:c>
    </x:row>
    <x:row r="340" ht="22" customHeight="1">
      <x:c r="A340" s="107"/>
      <x:c r="B340" s="107"/>
      <x:c r="C340" s="107"/>
      <x:c r="D340" s="107"/>
      <x:c r="E340" s="111"/>
      <x:c r="F340" s="109"/>
      <x:c r="G340" s="107"/>
      <x:c r="H340" s="111"/>
      <x:c r="I340" s="107"/>
      <x:c r="J340" t="str">
        <x:f>IF(COUNTA(A340:I340)=0,"",IF(OR(A340="",B340="",C340="",F340="",G340=""),"Complete entry",IF(F340&lt;=0,"Check amount",IF(G340="Cancelled","Cancelled",IF(G340="Paid",IF(H340="","Enter paid date","Paid"),IF(E340="","Enter due date",IF(E340&lt;'Data &amp; Targets'!$C$10,"Overdue",IF(E340&lt;'Data &amp; Targets'!$C$10+30,"Due next 30 days","Unpaid"))))))))</x:f>
      </x:c>
    </x:row>
    <x:row r="341" ht="22" customHeight="1">
      <x:c r="A341" s="107"/>
      <x:c r="B341" s="107"/>
      <x:c r="C341" s="107"/>
      <x:c r="D341" s="107"/>
      <x:c r="E341" s="111"/>
      <x:c r="F341" s="109"/>
      <x:c r="G341" s="107"/>
      <x:c r="H341" s="111"/>
      <x:c r="I341" s="107"/>
      <x:c r="J341" t="str">
        <x:f>IF(COUNTA(A341:I341)=0,"",IF(OR(A341="",B341="",C341="",F341="",G341=""),"Complete entry",IF(F341&lt;=0,"Check amount",IF(G341="Cancelled","Cancelled",IF(G341="Paid",IF(H341="","Enter paid date","Paid"),IF(E341="","Enter due date",IF(E341&lt;'Data &amp; Targets'!$C$10,"Overdue",IF(E341&lt;'Data &amp; Targets'!$C$10+30,"Due next 30 days","Unpaid"))))))))</x:f>
      </x:c>
    </x:row>
    <x:row r="342" ht="22" customHeight="1">
      <x:c r="A342" s="107"/>
      <x:c r="B342" s="107"/>
      <x:c r="C342" s="107"/>
      <x:c r="D342" s="107"/>
      <x:c r="E342" s="111"/>
      <x:c r="F342" s="109"/>
      <x:c r="G342" s="107"/>
      <x:c r="H342" s="111"/>
      <x:c r="I342" s="107"/>
      <x:c r="J342" t="str">
        <x:f>IF(COUNTA(A342:I342)=0,"",IF(OR(A342="",B342="",C342="",F342="",G342=""),"Complete entry",IF(F342&lt;=0,"Check amount",IF(G342="Cancelled","Cancelled",IF(G342="Paid",IF(H342="","Enter paid date","Paid"),IF(E342="","Enter due date",IF(E342&lt;'Data &amp; Targets'!$C$10,"Overdue",IF(E342&lt;'Data &amp; Targets'!$C$10+30,"Due next 30 days","Unpaid"))))))))</x:f>
      </x:c>
    </x:row>
    <x:row r="343" ht="22" customHeight="1">
      <x:c r="A343" s="107"/>
      <x:c r="B343" s="107"/>
      <x:c r="C343" s="107"/>
      <x:c r="D343" s="107"/>
      <x:c r="E343" s="111"/>
      <x:c r="F343" s="109"/>
      <x:c r="G343" s="107"/>
      <x:c r="H343" s="111"/>
      <x:c r="I343" s="107"/>
      <x:c r="J343" t="str">
        <x:f>IF(COUNTA(A343:I343)=0,"",IF(OR(A343="",B343="",C343="",F343="",G343=""),"Complete entry",IF(F343&lt;=0,"Check amount",IF(G343="Cancelled","Cancelled",IF(G343="Paid",IF(H343="","Enter paid date","Paid"),IF(E343="","Enter due date",IF(E343&lt;'Data &amp; Targets'!$C$10,"Overdue",IF(E343&lt;'Data &amp; Targets'!$C$10+30,"Due next 30 days","Unpaid"))))))))</x:f>
      </x:c>
    </x:row>
    <x:row r="344" ht="22" customHeight="1">
      <x:c r="A344" s="107"/>
      <x:c r="B344" s="107"/>
      <x:c r="C344" s="107"/>
      <x:c r="D344" s="107"/>
      <x:c r="E344" s="111"/>
      <x:c r="F344" s="109"/>
      <x:c r="G344" s="107"/>
      <x:c r="H344" s="111"/>
      <x:c r="I344" s="107"/>
      <x:c r="J344" t="str">
        <x:f>IF(COUNTA(A344:I344)=0,"",IF(OR(A344="",B344="",C344="",F344="",G344=""),"Complete entry",IF(F344&lt;=0,"Check amount",IF(G344="Cancelled","Cancelled",IF(G344="Paid",IF(H344="","Enter paid date","Paid"),IF(E344="","Enter due date",IF(E344&lt;'Data &amp; Targets'!$C$10,"Overdue",IF(E344&lt;'Data &amp; Targets'!$C$10+30,"Due next 30 days","Unpaid"))))))))</x:f>
      </x:c>
    </x:row>
    <x:row r="345" ht="22" customHeight="1">
      <x:c r="A345" s="107"/>
      <x:c r="B345" s="107"/>
      <x:c r="C345" s="107"/>
      <x:c r="D345" s="107"/>
      <x:c r="E345" s="111"/>
      <x:c r="F345" s="109"/>
      <x:c r="G345" s="107"/>
      <x:c r="H345" s="111"/>
      <x:c r="I345" s="107"/>
      <x:c r="J345" t="str">
        <x:f>IF(COUNTA(A345:I345)=0,"",IF(OR(A345="",B345="",C345="",F345="",G345=""),"Complete entry",IF(F345&lt;=0,"Check amount",IF(G345="Cancelled","Cancelled",IF(G345="Paid",IF(H345="","Enter paid date","Paid"),IF(E345="","Enter due date",IF(E345&lt;'Data &amp; Targets'!$C$10,"Overdue",IF(E345&lt;'Data &amp; Targets'!$C$10+30,"Due next 30 days","Unpaid"))))))))</x:f>
      </x:c>
    </x:row>
    <x:row r="346" ht="22" customHeight="1">
      <x:c r="A346" s="107"/>
      <x:c r="B346" s="107"/>
      <x:c r="C346" s="107"/>
      <x:c r="D346" s="107"/>
      <x:c r="E346" s="111"/>
      <x:c r="F346" s="109"/>
      <x:c r="G346" s="107"/>
      <x:c r="H346" s="111"/>
      <x:c r="I346" s="107"/>
      <x:c r="J346" t="str">
        <x:f>IF(COUNTA(A346:I346)=0,"",IF(OR(A346="",B346="",C346="",F346="",G346=""),"Complete entry",IF(F346&lt;=0,"Check amount",IF(G346="Cancelled","Cancelled",IF(G346="Paid",IF(H346="","Enter paid date","Paid"),IF(E346="","Enter due date",IF(E346&lt;'Data &amp; Targets'!$C$10,"Overdue",IF(E346&lt;'Data &amp; Targets'!$C$10+30,"Due next 30 days","Unpaid"))))))))</x:f>
      </x:c>
    </x:row>
    <x:row r="347" ht="22" customHeight="1">
      <x:c r="A347" s="107"/>
      <x:c r="B347" s="107"/>
      <x:c r="C347" s="107"/>
      <x:c r="D347" s="107"/>
      <x:c r="E347" s="111"/>
      <x:c r="F347" s="109"/>
      <x:c r="G347" s="107"/>
      <x:c r="H347" s="111"/>
      <x:c r="I347" s="107"/>
      <x:c r="J347" t="str">
        <x:f>IF(COUNTA(A347:I347)=0,"",IF(OR(A347="",B347="",C347="",F347="",G347=""),"Complete entry",IF(F347&lt;=0,"Check amount",IF(G347="Cancelled","Cancelled",IF(G347="Paid",IF(H347="","Enter paid date","Paid"),IF(E347="","Enter due date",IF(E347&lt;'Data &amp; Targets'!$C$10,"Overdue",IF(E347&lt;'Data &amp; Targets'!$C$10+30,"Due next 30 days","Unpaid"))))))))</x:f>
      </x:c>
    </x:row>
    <x:row r="348" ht="22" customHeight="1">
      <x:c r="A348" s="107"/>
      <x:c r="B348" s="107"/>
      <x:c r="C348" s="107"/>
      <x:c r="D348" s="107"/>
      <x:c r="E348" s="111"/>
      <x:c r="F348" s="109"/>
      <x:c r="G348" s="107"/>
      <x:c r="H348" s="111"/>
      <x:c r="I348" s="107"/>
      <x:c r="J348" t="str">
        <x:f>IF(COUNTA(A348:I348)=0,"",IF(OR(A348="",B348="",C348="",F348="",G348=""),"Complete entry",IF(F348&lt;=0,"Check amount",IF(G348="Cancelled","Cancelled",IF(G348="Paid",IF(H348="","Enter paid date","Paid"),IF(E348="","Enter due date",IF(E348&lt;'Data &amp; Targets'!$C$10,"Overdue",IF(E348&lt;'Data &amp; Targets'!$C$10+30,"Due next 30 days","Unpaid"))))))))</x:f>
      </x:c>
    </x:row>
    <x:row r="349" ht="22" customHeight="1">
      <x:c r="A349" s="107"/>
      <x:c r="B349" s="107"/>
      <x:c r="C349" s="107"/>
      <x:c r="D349" s="107"/>
      <x:c r="E349" s="111"/>
      <x:c r="F349" s="109"/>
      <x:c r="G349" s="107"/>
      <x:c r="H349" s="111"/>
      <x:c r="I349" s="107"/>
      <x:c r="J349" t="str">
        <x:f>IF(COUNTA(A349:I349)=0,"",IF(OR(A349="",B349="",C349="",F349="",G349=""),"Complete entry",IF(F349&lt;=0,"Check amount",IF(G349="Cancelled","Cancelled",IF(G349="Paid",IF(H349="","Enter paid date","Paid"),IF(E349="","Enter due date",IF(E349&lt;'Data &amp; Targets'!$C$10,"Overdue",IF(E349&lt;'Data &amp; Targets'!$C$10+30,"Due next 30 days","Unpaid"))))))))</x:f>
      </x:c>
    </x:row>
    <x:row r="350" ht="22" customHeight="1">
      <x:c r="A350" s="107"/>
      <x:c r="B350" s="107"/>
      <x:c r="C350" s="107"/>
      <x:c r="D350" s="107"/>
      <x:c r="E350" s="111"/>
      <x:c r="F350" s="109"/>
      <x:c r="G350" s="107"/>
      <x:c r="H350" s="111"/>
      <x:c r="I350" s="107"/>
      <x:c r="J350" t="str">
        <x:f>IF(COUNTA(A350:I350)=0,"",IF(OR(A350="",B350="",C350="",F350="",G350=""),"Complete entry",IF(F350&lt;=0,"Check amount",IF(G350="Cancelled","Cancelled",IF(G350="Paid",IF(H350="","Enter paid date","Paid"),IF(E350="","Enter due date",IF(E350&lt;'Data &amp; Targets'!$C$10,"Overdue",IF(E350&lt;'Data &amp; Targets'!$C$10+30,"Due next 30 days","Unpaid"))))))))</x:f>
      </x:c>
    </x:row>
    <x:row r="351" ht="22" customHeight="1">
      <x:c r="A351" s="107"/>
      <x:c r="B351" s="107"/>
      <x:c r="C351" s="107"/>
      <x:c r="D351" s="107"/>
      <x:c r="E351" s="111"/>
      <x:c r="F351" s="109"/>
      <x:c r="G351" s="107"/>
      <x:c r="H351" s="111"/>
      <x:c r="I351" s="107"/>
      <x:c r="J351" t="str">
        <x:f>IF(COUNTA(A351:I351)=0,"",IF(OR(A351="",B351="",C351="",F351="",G351=""),"Complete entry",IF(F351&lt;=0,"Check amount",IF(G351="Cancelled","Cancelled",IF(G351="Paid",IF(H351="","Enter paid date","Paid"),IF(E351="","Enter due date",IF(E351&lt;'Data &amp; Targets'!$C$10,"Overdue",IF(E351&lt;'Data &amp; Targets'!$C$10+30,"Due next 30 days","Unpaid"))))))))</x:f>
      </x:c>
    </x:row>
    <x:row r="352" ht="22" customHeight="1">
      <x:c r="A352" s="107"/>
      <x:c r="B352" s="107"/>
      <x:c r="C352" s="107"/>
      <x:c r="D352" s="107"/>
      <x:c r="E352" s="111"/>
      <x:c r="F352" s="109"/>
      <x:c r="G352" s="107"/>
      <x:c r="H352" s="111"/>
      <x:c r="I352" s="107"/>
      <x:c r="J352" t="str">
        <x:f>IF(COUNTA(A352:I352)=0,"",IF(OR(A352="",B352="",C352="",F352="",G352=""),"Complete entry",IF(F352&lt;=0,"Check amount",IF(G352="Cancelled","Cancelled",IF(G352="Paid",IF(H352="","Enter paid date","Paid"),IF(E352="","Enter due date",IF(E352&lt;'Data &amp; Targets'!$C$10,"Overdue",IF(E352&lt;'Data &amp; Targets'!$C$10+30,"Due next 30 days","Unpaid"))))))))</x:f>
      </x:c>
    </x:row>
    <x:row r="353" ht="22" customHeight="1">
      <x:c r="A353" s="107"/>
      <x:c r="B353" s="107"/>
      <x:c r="C353" s="107"/>
      <x:c r="D353" s="107"/>
      <x:c r="E353" s="111"/>
      <x:c r="F353" s="109"/>
      <x:c r="G353" s="107"/>
      <x:c r="H353" s="111"/>
      <x:c r="I353" s="107"/>
      <x:c r="J353" t="str">
        <x:f>IF(COUNTA(A353:I353)=0,"",IF(OR(A353="",B353="",C353="",F353="",G353=""),"Complete entry",IF(F353&lt;=0,"Check amount",IF(G353="Cancelled","Cancelled",IF(G353="Paid",IF(H353="","Enter paid date","Paid"),IF(E353="","Enter due date",IF(E353&lt;'Data &amp; Targets'!$C$10,"Overdue",IF(E353&lt;'Data &amp; Targets'!$C$10+30,"Due next 30 days","Unpaid"))))))))</x:f>
      </x:c>
    </x:row>
    <x:row r="354" ht="22" customHeight="1">
      <x:c r="A354" s="107"/>
      <x:c r="B354" s="107"/>
      <x:c r="C354" s="107"/>
      <x:c r="D354" s="107"/>
      <x:c r="E354" s="111"/>
      <x:c r="F354" s="109"/>
      <x:c r="G354" s="107"/>
      <x:c r="H354" s="111"/>
      <x:c r="I354" s="107"/>
      <x:c r="J354" t="str">
        <x:f>IF(COUNTA(A354:I354)=0,"",IF(OR(A354="",B354="",C354="",F354="",G354=""),"Complete entry",IF(F354&lt;=0,"Check amount",IF(G354="Cancelled","Cancelled",IF(G354="Paid",IF(H354="","Enter paid date","Paid"),IF(E354="","Enter due date",IF(E354&lt;'Data &amp; Targets'!$C$10,"Overdue",IF(E354&lt;'Data &amp; Targets'!$C$10+30,"Due next 30 days","Unpaid"))))))))</x:f>
      </x:c>
    </x:row>
    <x:row r="355" ht="22" customHeight="1">
      <x:c r="A355" s="107"/>
      <x:c r="B355" s="107"/>
      <x:c r="C355" s="107"/>
      <x:c r="D355" s="107"/>
      <x:c r="E355" s="111"/>
      <x:c r="F355" s="109"/>
      <x:c r="G355" s="107"/>
      <x:c r="H355" s="111"/>
      <x:c r="I355" s="107"/>
      <x:c r="J355" t="str">
        <x:f>IF(COUNTA(A355:I355)=0,"",IF(OR(A355="",B355="",C355="",F355="",G355=""),"Complete entry",IF(F355&lt;=0,"Check amount",IF(G355="Cancelled","Cancelled",IF(G355="Paid",IF(H355="","Enter paid date","Paid"),IF(E355="","Enter due date",IF(E355&lt;'Data &amp; Targets'!$C$10,"Overdue",IF(E355&lt;'Data &amp; Targets'!$C$10+30,"Due next 30 days","Unpaid"))))))))</x:f>
      </x:c>
    </x:row>
    <x:row r="356" ht="22" customHeight="1">
      <x:c r="A356" s="107"/>
      <x:c r="B356" s="107"/>
      <x:c r="C356" s="107"/>
      <x:c r="D356" s="107"/>
      <x:c r="E356" s="111"/>
      <x:c r="F356" s="109"/>
      <x:c r="G356" s="107"/>
      <x:c r="H356" s="111"/>
      <x:c r="I356" s="107"/>
      <x:c r="J356" t="str">
        <x:f>IF(COUNTA(A356:I356)=0,"",IF(OR(A356="",B356="",C356="",F356="",G356=""),"Complete entry",IF(F356&lt;=0,"Check amount",IF(G356="Cancelled","Cancelled",IF(G356="Paid",IF(H356="","Enter paid date","Paid"),IF(E356="","Enter due date",IF(E356&lt;'Data &amp; Targets'!$C$10,"Overdue",IF(E356&lt;'Data &amp; Targets'!$C$10+30,"Due next 30 days","Unpaid"))))))))</x:f>
      </x:c>
    </x:row>
    <x:row r="357" ht="22" customHeight="1">
      <x:c r="A357" s="107"/>
      <x:c r="B357" s="107"/>
      <x:c r="C357" s="107"/>
      <x:c r="D357" s="107"/>
      <x:c r="E357" s="111"/>
      <x:c r="F357" s="109"/>
      <x:c r="G357" s="107"/>
      <x:c r="H357" s="111"/>
      <x:c r="I357" s="107"/>
      <x:c r="J357" t="str">
        <x:f>IF(COUNTA(A357:I357)=0,"",IF(OR(A357="",B357="",C357="",F357="",G357=""),"Complete entry",IF(F357&lt;=0,"Check amount",IF(G357="Cancelled","Cancelled",IF(G357="Paid",IF(H357="","Enter paid date","Paid"),IF(E357="","Enter due date",IF(E357&lt;'Data &amp; Targets'!$C$10,"Overdue",IF(E357&lt;'Data &amp; Targets'!$C$10+30,"Due next 30 days","Unpaid"))))))))</x:f>
      </x:c>
    </x:row>
    <x:row r="358" ht="22" customHeight="1">
      <x:c r="A358" s="107"/>
      <x:c r="B358" s="107"/>
      <x:c r="C358" s="107"/>
      <x:c r="D358" s="107"/>
      <x:c r="E358" s="111"/>
      <x:c r="F358" s="109"/>
      <x:c r="G358" s="107"/>
      <x:c r="H358" s="111"/>
      <x:c r="I358" s="107"/>
      <x:c r="J358" t="str">
        <x:f>IF(COUNTA(A358:I358)=0,"",IF(OR(A358="",B358="",C358="",F358="",G358=""),"Complete entry",IF(F358&lt;=0,"Check amount",IF(G358="Cancelled","Cancelled",IF(G358="Paid",IF(H358="","Enter paid date","Paid"),IF(E358="","Enter due date",IF(E358&lt;'Data &amp; Targets'!$C$10,"Overdue",IF(E358&lt;'Data &amp; Targets'!$C$10+30,"Due next 30 days","Unpaid"))))))))</x:f>
      </x:c>
    </x:row>
    <x:row r="359" ht="22" customHeight="1">
      <x:c r="A359" s="107"/>
      <x:c r="B359" s="107"/>
      <x:c r="C359" s="107"/>
      <x:c r="D359" s="107"/>
      <x:c r="E359" s="111"/>
      <x:c r="F359" s="109"/>
      <x:c r="G359" s="107"/>
      <x:c r="H359" s="111"/>
      <x:c r="I359" s="107"/>
      <x:c r="J359" t="str">
        <x:f>IF(COUNTA(A359:I359)=0,"",IF(OR(A359="",B359="",C359="",F359="",G359=""),"Complete entry",IF(F359&lt;=0,"Check amount",IF(G359="Cancelled","Cancelled",IF(G359="Paid",IF(H359="","Enter paid date","Paid"),IF(E359="","Enter due date",IF(E359&lt;'Data &amp; Targets'!$C$10,"Overdue",IF(E359&lt;'Data &amp; Targets'!$C$10+30,"Due next 30 days","Unpaid"))))))))</x:f>
      </x:c>
    </x:row>
    <x:row r="360" ht="22" customHeight="1">
      <x:c r="A360" s="107"/>
      <x:c r="B360" s="107"/>
      <x:c r="C360" s="107"/>
      <x:c r="D360" s="107"/>
      <x:c r="E360" s="111"/>
      <x:c r="F360" s="109"/>
      <x:c r="G360" s="107"/>
      <x:c r="H360" s="111"/>
      <x:c r="I360" s="107"/>
      <x:c r="J360" t="str">
        <x:f>IF(COUNTA(A360:I360)=0,"",IF(OR(A360="",B360="",C360="",F360="",G360=""),"Complete entry",IF(F360&lt;=0,"Check amount",IF(G360="Cancelled","Cancelled",IF(G360="Paid",IF(H360="","Enter paid date","Paid"),IF(E360="","Enter due date",IF(E360&lt;'Data &amp; Targets'!$C$10,"Overdue",IF(E360&lt;'Data &amp; Targets'!$C$10+30,"Due next 30 days","Unpaid"))))))))</x:f>
      </x:c>
    </x:row>
    <x:row r="361" ht="22" customHeight="1">
      <x:c r="A361" s="107"/>
      <x:c r="B361" s="107"/>
      <x:c r="C361" s="107"/>
      <x:c r="D361" s="107"/>
      <x:c r="E361" s="111"/>
      <x:c r="F361" s="109"/>
      <x:c r="G361" s="107"/>
      <x:c r="H361" s="111"/>
      <x:c r="I361" s="107"/>
      <x:c r="J361" t="str">
        <x:f>IF(COUNTA(A361:I361)=0,"",IF(OR(A361="",B361="",C361="",F361="",G361=""),"Complete entry",IF(F361&lt;=0,"Check amount",IF(G361="Cancelled","Cancelled",IF(G361="Paid",IF(H361="","Enter paid date","Paid"),IF(E361="","Enter due date",IF(E361&lt;'Data &amp; Targets'!$C$10,"Overdue",IF(E361&lt;'Data &amp; Targets'!$C$10+30,"Due next 30 days","Unpaid"))))))))</x:f>
      </x:c>
    </x:row>
    <x:row r="362" ht="22" customHeight="1">
      <x:c r="A362" s="107"/>
      <x:c r="B362" s="107"/>
      <x:c r="C362" s="107"/>
      <x:c r="D362" s="107"/>
      <x:c r="E362" s="111"/>
      <x:c r="F362" s="109"/>
      <x:c r="G362" s="107"/>
      <x:c r="H362" s="111"/>
      <x:c r="I362" s="107"/>
      <x:c r="J362" t="str">
        <x:f>IF(COUNTA(A362:I362)=0,"",IF(OR(A362="",B362="",C362="",F362="",G362=""),"Complete entry",IF(F362&lt;=0,"Check amount",IF(G362="Cancelled","Cancelled",IF(G362="Paid",IF(H362="","Enter paid date","Paid"),IF(E362="","Enter due date",IF(E362&lt;'Data &amp; Targets'!$C$10,"Overdue",IF(E362&lt;'Data &amp; Targets'!$C$10+30,"Due next 30 days","Unpaid"))))))))</x:f>
      </x:c>
    </x:row>
    <x:row r="363" ht="22" customHeight="1">
      <x:c r="A363" s="107"/>
      <x:c r="B363" s="107"/>
      <x:c r="C363" s="107"/>
      <x:c r="D363" s="107"/>
      <x:c r="E363" s="111"/>
      <x:c r="F363" s="109"/>
      <x:c r="G363" s="107"/>
      <x:c r="H363" s="111"/>
      <x:c r="I363" s="107"/>
      <x:c r="J363" t="str">
        <x:f>IF(COUNTA(A363:I363)=0,"",IF(OR(A363="",B363="",C363="",F363="",G363=""),"Complete entry",IF(F363&lt;=0,"Check amount",IF(G363="Cancelled","Cancelled",IF(G363="Paid",IF(H363="","Enter paid date","Paid"),IF(E363="","Enter due date",IF(E363&lt;'Data &amp; Targets'!$C$10,"Overdue",IF(E363&lt;'Data &amp; Targets'!$C$10+30,"Due next 30 days","Unpaid"))))))))</x:f>
      </x:c>
    </x:row>
    <x:row r="364" ht="22" customHeight="1">
      <x:c r="A364" s="107"/>
      <x:c r="B364" s="107"/>
      <x:c r="C364" s="107"/>
      <x:c r="D364" s="107"/>
      <x:c r="E364" s="111"/>
      <x:c r="F364" s="109"/>
      <x:c r="G364" s="107"/>
      <x:c r="H364" s="111"/>
      <x:c r="I364" s="107"/>
      <x:c r="J364" t="str">
        <x:f>IF(COUNTA(A364:I364)=0,"",IF(OR(A364="",B364="",C364="",F364="",G364=""),"Complete entry",IF(F364&lt;=0,"Check amount",IF(G364="Cancelled","Cancelled",IF(G364="Paid",IF(H364="","Enter paid date","Paid"),IF(E364="","Enter due date",IF(E364&lt;'Data &amp; Targets'!$C$10,"Overdue",IF(E364&lt;'Data &amp; Targets'!$C$10+30,"Due next 30 days","Unpaid"))))))))</x:f>
      </x:c>
    </x:row>
    <x:row r="365" ht="22" customHeight="1">
      <x:c r="A365" s="107"/>
      <x:c r="B365" s="107"/>
      <x:c r="C365" s="107"/>
      <x:c r="D365" s="107"/>
      <x:c r="E365" s="111"/>
      <x:c r="F365" s="109"/>
      <x:c r="G365" s="107"/>
      <x:c r="H365" s="111"/>
      <x:c r="I365" s="107"/>
      <x:c r="J365" t="str">
        <x:f>IF(COUNTA(A365:I365)=0,"",IF(OR(A365="",B365="",C365="",F365="",G365=""),"Complete entry",IF(F365&lt;=0,"Check amount",IF(G365="Cancelled","Cancelled",IF(G365="Paid",IF(H365="","Enter paid date","Paid"),IF(E365="","Enter due date",IF(E365&lt;'Data &amp; Targets'!$C$10,"Overdue",IF(E365&lt;'Data &amp; Targets'!$C$10+30,"Due next 30 days","Unpaid"))))))))</x:f>
      </x:c>
    </x:row>
    <x:row r="366" ht="22" customHeight="1">
      <x:c r="A366" s="107"/>
      <x:c r="B366" s="107"/>
      <x:c r="C366" s="107"/>
      <x:c r="D366" s="107"/>
      <x:c r="E366" s="111"/>
      <x:c r="F366" s="109"/>
      <x:c r="G366" s="107"/>
      <x:c r="H366" s="111"/>
      <x:c r="I366" s="107"/>
      <x:c r="J366" t="str">
        <x:f>IF(COUNTA(A366:I366)=0,"",IF(OR(A366="",B366="",C366="",F366="",G366=""),"Complete entry",IF(F366&lt;=0,"Check amount",IF(G366="Cancelled","Cancelled",IF(G366="Paid",IF(H366="","Enter paid date","Paid"),IF(E366="","Enter due date",IF(E366&lt;'Data &amp; Targets'!$C$10,"Overdue",IF(E366&lt;'Data &amp; Targets'!$C$10+30,"Due next 30 days","Unpaid"))))))))</x:f>
      </x:c>
    </x:row>
    <x:row r="367" ht="22" customHeight="1">
      <x:c r="A367" s="107"/>
      <x:c r="B367" s="107"/>
      <x:c r="C367" s="107"/>
      <x:c r="D367" s="107"/>
      <x:c r="E367" s="111"/>
      <x:c r="F367" s="109"/>
      <x:c r="G367" s="107"/>
      <x:c r="H367" s="111"/>
      <x:c r="I367" s="107"/>
      <x:c r="J367" t="str">
        <x:f>IF(COUNTA(A367:I367)=0,"",IF(OR(A367="",B367="",C367="",F367="",G367=""),"Complete entry",IF(F367&lt;=0,"Check amount",IF(G367="Cancelled","Cancelled",IF(G367="Paid",IF(H367="","Enter paid date","Paid"),IF(E367="","Enter due date",IF(E367&lt;'Data &amp; Targets'!$C$10,"Overdue",IF(E367&lt;'Data &amp; Targets'!$C$10+30,"Due next 30 days","Unpaid"))))))))</x:f>
      </x:c>
    </x:row>
    <x:row r="368" ht="22" customHeight="1">
      <x:c r="A368" s="107"/>
      <x:c r="B368" s="107"/>
      <x:c r="C368" s="107"/>
      <x:c r="D368" s="107"/>
      <x:c r="E368" s="111"/>
      <x:c r="F368" s="109"/>
      <x:c r="G368" s="107"/>
      <x:c r="H368" s="111"/>
      <x:c r="I368" s="107"/>
      <x:c r="J368" t="str">
        <x:f>IF(COUNTA(A368:I368)=0,"",IF(OR(A368="",B368="",C368="",F368="",G368=""),"Complete entry",IF(F368&lt;=0,"Check amount",IF(G368="Cancelled","Cancelled",IF(G368="Paid",IF(H368="","Enter paid date","Paid"),IF(E368="","Enter due date",IF(E368&lt;'Data &amp; Targets'!$C$10,"Overdue",IF(E368&lt;'Data &amp; Targets'!$C$10+30,"Due next 30 days","Unpaid"))))))))</x:f>
      </x:c>
    </x:row>
    <x:row r="369" ht="22" customHeight="1">
      <x:c r="A369" s="107"/>
      <x:c r="B369" s="107"/>
      <x:c r="C369" s="107"/>
      <x:c r="D369" s="107"/>
      <x:c r="E369" s="111"/>
      <x:c r="F369" s="109"/>
      <x:c r="G369" s="107"/>
      <x:c r="H369" s="111"/>
      <x:c r="I369" s="107"/>
      <x:c r="J369" t="str">
        <x:f>IF(COUNTA(A369:I369)=0,"",IF(OR(A369="",B369="",C369="",F369="",G369=""),"Complete entry",IF(F369&lt;=0,"Check amount",IF(G369="Cancelled","Cancelled",IF(G369="Paid",IF(H369="","Enter paid date","Paid"),IF(E369="","Enter due date",IF(E369&lt;'Data &amp; Targets'!$C$10,"Overdue",IF(E369&lt;'Data &amp; Targets'!$C$10+30,"Due next 30 days","Unpaid"))))))))</x:f>
      </x:c>
    </x:row>
    <x:row r="370" ht="22" customHeight="1">
      <x:c r="A370" s="107"/>
      <x:c r="B370" s="107"/>
      <x:c r="C370" s="107"/>
      <x:c r="D370" s="107"/>
      <x:c r="E370" s="111"/>
      <x:c r="F370" s="109"/>
      <x:c r="G370" s="107"/>
      <x:c r="H370" s="111"/>
      <x:c r="I370" s="107"/>
      <x:c r="J370" t="str">
        <x:f>IF(COUNTA(A370:I370)=0,"",IF(OR(A370="",B370="",C370="",F370="",G370=""),"Complete entry",IF(F370&lt;=0,"Check amount",IF(G370="Cancelled","Cancelled",IF(G370="Paid",IF(H370="","Enter paid date","Paid"),IF(E370="","Enter due date",IF(E370&lt;'Data &amp; Targets'!$C$10,"Overdue",IF(E370&lt;'Data &amp; Targets'!$C$10+30,"Due next 30 days","Unpaid"))))))))</x:f>
      </x:c>
    </x:row>
    <x:row r="371" ht="22" customHeight="1">
      <x:c r="A371" s="107"/>
      <x:c r="B371" s="107"/>
      <x:c r="C371" s="107"/>
      <x:c r="D371" s="107"/>
      <x:c r="E371" s="111"/>
      <x:c r="F371" s="109"/>
      <x:c r="G371" s="107"/>
      <x:c r="H371" s="111"/>
      <x:c r="I371" s="107"/>
      <x:c r="J371" t="str">
        <x:f>IF(COUNTA(A371:I371)=0,"",IF(OR(A371="",B371="",C371="",F371="",G371=""),"Complete entry",IF(F371&lt;=0,"Check amount",IF(G371="Cancelled","Cancelled",IF(G371="Paid",IF(H371="","Enter paid date","Paid"),IF(E371="","Enter due date",IF(E371&lt;'Data &amp; Targets'!$C$10,"Overdue",IF(E371&lt;'Data &amp; Targets'!$C$10+30,"Due next 30 days","Unpaid"))))))))</x:f>
      </x:c>
    </x:row>
    <x:row r="372" ht="22" customHeight="1">
      <x:c r="A372" s="107"/>
      <x:c r="B372" s="107"/>
      <x:c r="C372" s="107"/>
      <x:c r="D372" s="107"/>
      <x:c r="E372" s="111"/>
      <x:c r="F372" s="109"/>
      <x:c r="G372" s="107"/>
      <x:c r="H372" s="111"/>
      <x:c r="I372" s="107"/>
      <x:c r="J372" t="str">
        <x:f>IF(COUNTA(A372:I372)=0,"",IF(OR(A372="",B372="",C372="",F372="",G372=""),"Complete entry",IF(F372&lt;=0,"Check amount",IF(G372="Cancelled","Cancelled",IF(G372="Paid",IF(H372="","Enter paid date","Paid"),IF(E372="","Enter due date",IF(E372&lt;'Data &amp; Targets'!$C$10,"Overdue",IF(E372&lt;'Data &amp; Targets'!$C$10+30,"Due next 30 days","Unpaid"))))))))</x:f>
      </x:c>
    </x:row>
    <x:row r="373" ht="22" customHeight="1">
      <x:c r="A373" s="107"/>
      <x:c r="B373" s="107"/>
      <x:c r="C373" s="107"/>
      <x:c r="D373" s="107"/>
      <x:c r="E373" s="111"/>
      <x:c r="F373" s="109"/>
      <x:c r="G373" s="107"/>
      <x:c r="H373" s="111"/>
      <x:c r="I373" s="107"/>
      <x:c r="J373" t="str">
        <x:f>IF(COUNTA(A373:I373)=0,"",IF(OR(A373="",B373="",C373="",F373="",G373=""),"Complete entry",IF(F373&lt;=0,"Check amount",IF(G373="Cancelled","Cancelled",IF(G373="Paid",IF(H373="","Enter paid date","Paid"),IF(E373="","Enter due date",IF(E373&lt;'Data &amp; Targets'!$C$10,"Overdue",IF(E373&lt;'Data &amp; Targets'!$C$10+30,"Due next 30 days","Unpaid"))))))))</x:f>
      </x:c>
    </x:row>
    <x:row r="374" ht="22" customHeight="1">
      <x:c r="A374" s="107"/>
      <x:c r="B374" s="107"/>
      <x:c r="C374" s="107"/>
      <x:c r="D374" s="107"/>
      <x:c r="E374" s="111"/>
      <x:c r="F374" s="109"/>
      <x:c r="G374" s="107"/>
      <x:c r="H374" s="111"/>
      <x:c r="I374" s="107"/>
      <x:c r="J374" t="str">
        <x:f>IF(COUNTA(A374:I374)=0,"",IF(OR(A374="",B374="",C374="",F374="",G374=""),"Complete entry",IF(F374&lt;=0,"Check amount",IF(G374="Cancelled","Cancelled",IF(G374="Paid",IF(H374="","Enter paid date","Paid"),IF(E374="","Enter due date",IF(E374&lt;'Data &amp; Targets'!$C$10,"Overdue",IF(E374&lt;'Data &amp; Targets'!$C$10+30,"Due next 30 days","Unpaid"))))))))</x:f>
      </x:c>
    </x:row>
    <x:row r="375" ht="22" customHeight="1">
      <x:c r="A375" s="107"/>
      <x:c r="B375" s="107"/>
      <x:c r="C375" s="107"/>
      <x:c r="D375" s="107"/>
      <x:c r="E375" s="111"/>
      <x:c r="F375" s="109"/>
      <x:c r="G375" s="107"/>
      <x:c r="H375" s="111"/>
      <x:c r="I375" s="107"/>
      <x:c r="J375" t="str">
        <x:f>IF(COUNTA(A375:I375)=0,"",IF(OR(A375="",B375="",C375="",F375="",G375=""),"Complete entry",IF(F375&lt;=0,"Check amount",IF(G375="Cancelled","Cancelled",IF(G375="Paid",IF(H375="","Enter paid date","Paid"),IF(E375="","Enter due date",IF(E375&lt;'Data &amp; Targets'!$C$10,"Overdue",IF(E375&lt;'Data &amp; Targets'!$C$10+30,"Due next 30 days","Unpaid"))))))))</x:f>
      </x:c>
    </x:row>
    <x:row r="376" ht="22" customHeight="1">
      <x:c r="A376" s="107"/>
      <x:c r="B376" s="107"/>
      <x:c r="C376" s="107"/>
      <x:c r="D376" s="107"/>
      <x:c r="E376" s="111"/>
      <x:c r="F376" s="109"/>
      <x:c r="G376" s="107"/>
      <x:c r="H376" s="111"/>
      <x:c r="I376" s="107"/>
      <x:c r="J376" t="str">
        <x:f>IF(COUNTA(A376:I376)=0,"",IF(OR(A376="",B376="",C376="",F376="",G376=""),"Complete entry",IF(F376&lt;=0,"Check amount",IF(G376="Cancelled","Cancelled",IF(G376="Paid",IF(H376="","Enter paid date","Paid"),IF(E376="","Enter due date",IF(E376&lt;'Data &amp; Targets'!$C$10,"Overdue",IF(E376&lt;'Data &amp; Targets'!$C$10+30,"Due next 30 days","Unpaid"))))))))</x:f>
      </x:c>
    </x:row>
    <x:row r="377" ht="22" customHeight="1">
      <x:c r="A377" s="107"/>
      <x:c r="B377" s="107"/>
      <x:c r="C377" s="107"/>
      <x:c r="D377" s="107"/>
      <x:c r="E377" s="111"/>
      <x:c r="F377" s="109"/>
      <x:c r="G377" s="107"/>
      <x:c r="H377" s="111"/>
      <x:c r="I377" s="107"/>
      <x:c r="J377" t="str">
        <x:f>IF(COUNTA(A377:I377)=0,"",IF(OR(A377="",B377="",C377="",F377="",G377=""),"Complete entry",IF(F377&lt;=0,"Check amount",IF(G377="Cancelled","Cancelled",IF(G377="Paid",IF(H377="","Enter paid date","Paid"),IF(E377="","Enter due date",IF(E377&lt;'Data &amp; Targets'!$C$10,"Overdue",IF(E377&lt;'Data &amp; Targets'!$C$10+30,"Due next 30 days","Unpaid"))))))))</x:f>
      </x:c>
    </x:row>
    <x:row r="378" ht="22" customHeight="1">
      <x:c r="A378" s="107"/>
      <x:c r="B378" s="107"/>
      <x:c r="C378" s="107"/>
      <x:c r="D378" s="107"/>
      <x:c r="E378" s="111"/>
      <x:c r="F378" s="109"/>
      <x:c r="G378" s="107"/>
      <x:c r="H378" s="111"/>
      <x:c r="I378" s="107"/>
      <x:c r="J378" t="str">
        <x:f>IF(COUNTA(A378:I378)=0,"",IF(OR(A378="",B378="",C378="",F378="",G378=""),"Complete entry",IF(F378&lt;=0,"Check amount",IF(G378="Cancelled","Cancelled",IF(G378="Paid",IF(H378="","Enter paid date","Paid"),IF(E378="","Enter due date",IF(E378&lt;'Data &amp; Targets'!$C$10,"Overdue",IF(E378&lt;'Data &amp; Targets'!$C$10+30,"Due next 30 days","Unpaid"))))))))</x:f>
      </x:c>
    </x:row>
    <x:row r="379" ht="22" customHeight="1">
      <x:c r="A379" s="107"/>
      <x:c r="B379" s="107"/>
      <x:c r="C379" s="107"/>
      <x:c r="D379" s="107"/>
      <x:c r="E379" s="111"/>
      <x:c r="F379" s="109"/>
      <x:c r="G379" s="107"/>
      <x:c r="H379" s="111"/>
      <x:c r="I379" s="107"/>
      <x:c r="J379" t="str">
        <x:f>IF(COUNTA(A379:I379)=0,"",IF(OR(A379="",B379="",C379="",F379="",G379=""),"Complete entry",IF(F379&lt;=0,"Check amount",IF(G379="Cancelled","Cancelled",IF(G379="Paid",IF(H379="","Enter paid date","Paid"),IF(E379="","Enter due date",IF(E379&lt;'Data &amp; Targets'!$C$10,"Overdue",IF(E379&lt;'Data &amp; Targets'!$C$10+30,"Due next 30 days","Unpaid"))))))))</x:f>
      </x:c>
    </x:row>
    <x:row r="380" ht="22" customHeight="1">
      <x:c r="A380" s="107"/>
      <x:c r="B380" s="107"/>
      <x:c r="C380" s="107"/>
      <x:c r="D380" s="107"/>
      <x:c r="E380" s="111"/>
      <x:c r="F380" s="109"/>
      <x:c r="G380" s="107"/>
      <x:c r="H380" s="111"/>
      <x:c r="I380" s="107"/>
      <x:c r="J380" t="str">
        <x:f>IF(COUNTA(A380:I380)=0,"",IF(OR(A380="",B380="",C380="",F380="",G380=""),"Complete entry",IF(F380&lt;=0,"Check amount",IF(G380="Cancelled","Cancelled",IF(G380="Paid",IF(H380="","Enter paid date","Paid"),IF(E380="","Enter due date",IF(E380&lt;'Data &amp; Targets'!$C$10,"Overdue",IF(E380&lt;'Data &amp; Targets'!$C$10+30,"Due next 30 days","Unpaid"))))))))</x:f>
      </x:c>
    </x:row>
    <x:row r="381" ht="22" customHeight="1">
      <x:c r="A381" s="107"/>
      <x:c r="B381" s="107"/>
      <x:c r="C381" s="107"/>
      <x:c r="D381" s="107"/>
      <x:c r="E381" s="111"/>
      <x:c r="F381" s="109"/>
      <x:c r="G381" s="107"/>
      <x:c r="H381" s="111"/>
      <x:c r="I381" s="107"/>
      <x:c r="J381" t="str">
        <x:f>IF(COUNTA(A381:I381)=0,"",IF(OR(A381="",B381="",C381="",F381="",G381=""),"Complete entry",IF(F381&lt;=0,"Check amount",IF(G381="Cancelled","Cancelled",IF(G381="Paid",IF(H381="","Enter paid date","Paid"),IF(E381="","Enter due date",IF(E381&lt;'Data &amp; Targets'!$C$10,"Overdue",IF(E381&lt;'Data &amp; Targets'!$C$10+30,"Due next 30 days","Unpaid"))))))))</x:f>
      </x:c>
    </x:row>
    <x:row r="382" ht="22" customHeight="1">
      <x:c r="A382" s="107"/>
      <x:c r="B382" s="107"/>
      <x:c r="C382" s="107"/>
      <x:c r="D382" s="107"/>
      <x:c r="E382" s="111"/>
      <x:c r="F382" s="109"/>
      <x:c r="G382" s="107"/>
      <x:c r="H382" s="111"/>
      <x:c r="I382" s="107"/>
      <x:c r="J382" t="str">
        <x:f>IF(COUNTA(A382:I382)=0,"",IF(OR(A382="",B382="",C382="",F382="",G382=""),"Complete entry",IF(F382&lt;=0,"Check amount",IF(G382="Cancelled","Cancelled",IF(G382="Paid",IF(H382="","Enter paid date","Paid"),IF(E382="","Enter due date",IF(E382&lt;'Data &amp; Targets'!$C$10,"Overdue",IF(E382&lt;'Data &amp; Targets'!$C$10+30,"Due next 30 days","Unpaid"))))))))</x:f>
      </x:c>
    </x:row>
    <x:row r="383" ht="22" customHeight="1">
      <x:c r="A383" s="107"/>
      <x:c r="B383" s="107"/>
      <x:c r="C383" s="107"/>
      <x:c r="D383" s="107"/>
      <x:c r="E383" s="111"/>
      <x:c r="F383" s="109"/>
      <x:c r="G383" s="107"/>
      <x:c r="H383" s="111"/>
      <x:c r="I383" s="107"/>
      <x:c r="J383" t="str">
        <x:f>IF(COUNTA(A383:I383)=0,"",IF(OR(A383="",B383="",C383="",F383="",G383=""),"Complete entry",IF(F383&lt;=0,"Check amount",IF(G383="Cancelled","Cancelled",IF(G383="Paid",IF(H383="","Enter paid date","Paid"),IF(E383="","Enter due date",IF(E383&lt;'Data &amp; Targets'!$C$10,"Overdue",IF(E383&lt;'Data &amp; Targets'!$C$10+30,"Due next 30 days","Unpaid"))))))))</x:f>
      </x:c>
    </x:row>
    <x:row r="384" ht="22" customHeight="1">
      <x:c r="A384" s="107"/>
      <x:c r="B384" s="107"/>
      <x:c r="C384" s="107"/>
      <x:c r="D384" s="107"/>
      <x:c r="E384" s="111"/>
      <x:c r="F384" s="109"/>
      <x:c r="G384" s="107"/>
      <x:c r="H384" s="111"/>
      <x:c r="I384" s="107"/>
      <x:c r="J384" t="str">
        <x:f>IF(COUNTA(A384:I384)=0,"",IF(OR(A384="",B384="",C384="",F384="",G384=""),"Complete entry",IF(F384&lt;=0,"Check amount",IF(G384="Cancelled","Cancelled",IF(G384="Paid",IF(H384="","Enter paid date","Paid"),IF(E384="","Enter due date",IF(E384&lt;'Data &amp; Targets'!$C$10,"Overdue",IF(E384&lt;'Data &amp; Targets'!$C$10+30,"Due next 30 days","Unpaid"))))))))</x:f>
      </x:c>
    </x:row>
    <x:row r="385" ht="22" customHeight="1">
      <x:c r="A385" s="107"/>
      <x:c r="B385" s="107"/>
      <x:c r="C385" s="107"/>
      <x:c r="D385" s="107"/>
      <x:c r="E385" s="111"/>
      <x:c r="F385" s="109"/>
      <x:c r="G385" s="107"/>
      <x:c r="H385" s="111"/>
      <x:c r="I385" s="107"/>
      <x:c r="J385" t="str">
        <x:f>IF(COUNTA(A385:I385)=0,"",IF(OR(A385="",B385="",C385="",F385="",G385=""),"Complete entry",IF(F385&lt;=0,"Check amount",IF(G385="Cancelled","Cancelled",IF(G385="Paid",IF(H385="","Enter paid date","Paid"),IF(E385="","Enter due date",IF(E385&lt;'Data &amp; Targets'!$C$10,"Overdue",IF(E385&lt;'Data &amp; Targets'!$C$10+30,"Due next 30 days","Unpaid"))))))))</x:f>
      </x:c>
    </x:row>
    <x:row r="386" ht="22" customHeight="1">
      <x:c r="A386" s="107"/>
      <x:c r="B386" s="107"/>
      <x:c r="C386" s="107"/>
      <x:c r="D386" s="107"/>
      <x:c r="E386" s="111"/>
      <x:c r="F386" s="109"/>
      <x:c r="G386" s="107"/>
      <x:c r="H386" s="111"/>
      <x:c r="I386" s="107"/>
      <x:c r="J386" t="str">
        <x:f>IF(COUNTA(A386:I386)=0,"",IF(OR(A386="",B386="",C386="",F386="",G386=""),"Complete entry",IF(F386&lt;=0,"Check amount",IF(G386="Cancelled","Cancelled",IF(G386="Paid",IF(H386="","Enter paid date","Paid"),IF(E386="","Enter due date",IF(E386&lt;'Data &amp; Targets'!$C$10,"Overdue",IF(E386&lt;'Data &amp; Targets'!$C$10+30,"Due next 30 days","Unpaid"))))))))</x:f>
      </x:c>
    </x:row>
    <x:row r="387" ht="22" customHeight="1">
      <x:c r="A387" s="107"/>
      <x:c r="B387" s="107"/>
      <x:c r="C387" s="107"/>
      <x:c r="D387" s="107"/>
      <x:c r="E387" s="111"/>
      <x:c r="F387" s="109"/>
      <x:c r="G387" s="107"/>
      <x:c r="H387" s="111"/>
      <x:c r="I387" s="107"/>
      <x:c r="J387" t="str">
        <x:f>IF(COUNTA(A387:I387)=0,"",IF(OR(A387="",B387="",C387="",F387="",G387=""),"Complete entry",IF(F387&lt;=0,"Check amount",IF(G387="Cancelled","Cancelled",IF(G387="Paid",IF(H387="","Enter paid date","Paid"),IF(E387="","Enter due date",IF(E387&lt;'Data &amp; Targets'!$C$10,"Overdue",IF(E387&lt;'Data &amp; Targets'!$C$10+30,"Due next 30 days","Unpaid"))))))))</x:f>
      </x:c>
    </x:row>
    <x:row r="388" ht="22" customHeight="1">
      <x:c r="A388" s="107"/>
      <x:c r="B388" s="107"/>
      <x:c r="C388" s="107"/>
      <x:c r="D388" s="107"/>
      <x:c r="E388" s="111"/>
      <x:c r="F388" s="109"/>
      <x:c r="G388" s="107"/>
      <x:c r="H388" s="111"/>
      <x:c r="I388" s="107"/>
      <x:c r="J388" t="str">
        <x:f>IF(COUNTA(A388:I388)=0,"",IF(OR(A388="",B388="",C388="",F388="",G388=""),"Complete entry",IF(F388&lt;=0,"Check amount",IF(G388="Cancelled","Cancelled",IF(G388="Paid",IF(H388="","Enter paid date","Paid"),IF(E388="","Enter due date",IF(E388&lt;'Data &amp; Targets'!$C$10,"Overdue",IF(E388&lt;'Data &amp; Targets'!$C$10+30,"Due next 30 days","Unpaid"))))))))</x:f>
      </x:c>
    </x:row>
    <x:row r="389" ht="22" customHeight="1">
      <x:c r="A389" s="107"/>
      <x:c r="B389" s="107"/>
      <x:c r="C389" s="107"/>
      <x:c r="D389" s="107"/>
      <x:c r="E389" s="111"/>
      <x:c r="F389" s="109"/>
      <x:c r="G389" s="107"/>
      <x:c r="H389" s="111"/>
      <x:c r="I389" s="107"/>
      <x:c r="J389" t="str">
        <x:f>IF(COUNTA(A389:I389)=0,"",IF(OR(A389="",B389="",C389="",F389="",G389=""),"Complete entry",IF(F389&lt;=0,"Check amount",IF(G389="Cancelled","Cancelled",IF(G389="Paid",IF(H389="","Enter paid date","Paid"),IF(E389="","Enter due date",IF(E389&lt;'Data &amp; Targets'!$C$10,"Overdue",IF(E389&lt;'Data &amp; Targets'!$C$10+30,"Due next 30 days","Unpaid"))))))))</x:f>
      </x:c>
    </x:row>
    <x:row r="390" ht="22" customHeight="1">
      <x:c r="A390" s="107"/>
      <x:c r="B390" s="107"/>
      <x:c r="C390" s="107"/>
      <x:c r="D390" s="107"/>
      <x:c r="E390" s="111"/>
      <x:c r="F390" s="109"/>
      <x:c r="G390" s="107"/>
      <x:c r="H390" s="111"/>
      <x:c r="I390" s="107"/>
      <x:c r="J390" t="str">
        <x:f>IF(COUNTA(A390:I390)=0,"",IF(OR(A390="",B390="",C390="",F390="",G390=""),"Complete entry",IF(F390&lt;=0,"Check amount",IF(G390="Cancelled","Cancelled",IF(G390="Paid",IF(H390="","Enter paid date","Paid"),IF(E390="","Enter due date",IF(E390&lt;'Data &amp; Targets'!$C$10,"Overdue",IF(E390&lt;'Data &amp; Targets'!$C$10+30,"Due next 30 days","Unpaid"))))))))</x:f>
      </x:c>
    </x:row>
    <x:row r="391" ht="22" customHeight="1">
      <x:c r="A391" s="107"/>
      <x:c r="B391" s="107"/>
      <x:c r="C391" s="107"/>
      <x:c r="D391" s="107"/>
      <x:c r="E391" s="111"/>
      <x:c r="F391" s="109"/>
      <x:c r="G391" s="107"/>
      <x:c r="H391" s="111"/>
      <x:c r="I391" s="107"/>
      <x:c r="J391" t="str">
        <x:f>IF(COUNTA(A391:I391)=0,"",IF(OR(A391="",B391="",C391="",F391="",G391=""),"Complete entry",IF(F391&lt;=0,"Check amount",IF(G391="Cancelled","Cancelled",IF(G391="Paid",IF(H391="","Enter paid date","Paid"),IF(E391="","Enter due date",IF(E391&lt;'Data &amp; Targets'!$C$10,"Overdue",IF(E391&lt;'Data &amp; Targets'!$C$10+30,"Due next 30 days","Unpaid"))))))))</x:f>
      </x:c>
    </x:row>
    <x:row r="392" ht="22" customHeight="1">
      <x:c r="A392" s="107"/>
      <x:c r="B392" s="107"/>
      <x:c r="C392" s="107"/>
      <x:c r="D392" s="107"/>
      <x:c r="E392" s="111"/>
      <x:c r="F392" s="109"/>
      <x:c r="G392" s="107"/>
      <x:c r="H392" s="111"/>
      <x:c r="I392" s="107"/>
      <x:c r="J392" t="str">
        <x:f>IF(COUNTA(A392:I392)=0,"",IF(OR(A392="",B392="",C392="",F392="",G392=""),"Complete entry",IF(F392&lt;=0,"Check amount",IF(G392="Cancelled","Cancelled",IF(G392="Paid",IF(H392="","Enter paid date","Paid"),IF(E392="","Enter due date",IF(E392&lt;'Data &amp; Targets'!$C$10,"Overdue",IF(E392&lt;'Data &amp; Targets'!$C$10+30,"Due next 30 days","Unpaid"))))))))</x:f>
      </x:c>
    </x:row>
    <x:row r="393" ht="22" customHeight="1">
      <x:c r="A393" s="107"/>
      <x:c r="B393" s="107"/>
      <x:c r="C393" s="107"/>
      <x:c r="D393" s="107"/>
      <x:c r="E393" s="111"/>
      <x:c r="F393" s="109"/>
      <x:c r="G393" s="107"/>
      <x:c r="H393" s="111"/>
      <x:c r="I393" s="107"/>
      <x:c r="J393" t="str">
        <x:f>IF(COUNTA(A393:I393)=0,"",IF(OR(A393="",B393="",C393="",F393="",G393=""),"Complete entry",IF(F393&lt;=0,"Check amount",IF(G393="Cancelled","Cancelled",IF(G393="Paid",IF(H393="","Enter paid date","Paid"),IF(E393="","Enter due date",IF(E393&lt;'Data &amp; Targets'!$C$10,"Overdue",IF(E393&lt;'Data &amp; Targets'!$C$10+30,"Due next 30 days","Unpaid"))))))))</x:f>
      </x:c>
    </x:row>
    <x:row r="394" ht="22" customHeight="1">
      <x:c r="A394" s="107"/>
      <x:c r="B394" s="107"/>
      <x:c r="C394" s="107"/>
      <x:c r="D394" s="107"/>
      <x:c r="E394" s="111"/>
      <x:c r="F394" s="109"/>
      <x:c r="G394" s="107"/>
      <x:c r="H394" s="111"/>
      <x:c r="I394" s="107"/>
      <x:c r="J394" t="str">
        <x:f>IF(COUNTA(A394:I394)=0,"",IF(OR(A394="",B394="",C394="",F394="",G394=""),"Complete entry",IF(F394&lt;=0,"Check amount",IF(G394="Cancelled","Cancelled",IF(G394="Paid",IF(H394="","Enter paid date","Paid"),IF(E394="","Enter due date",IF(E394&lt;'Data &amp; Targets'!$C$10,"Overdue",IF(E394&lt;'Data &amp; Targets'!$C$10+30,"Due next 30 days","Unpaid"))))))))</x:f>
      </x:c>
    </x:row>
    <x:row r="395" ht="22" customHeight="1">
      <x:c r="A395" s="107"/>
      <x:c r="B395" s="107"/>
      <x:c r="C395" s="107"/>
      <x:c r="D395" s="107"/>
      <x:c r="E395" s="111"/>
      <x:c r="F395" s="109"/>
      <x:c r="G395" s="107"/>
      <x:c r="H395" s="111"/>
      <x:c r="I395" s="107"/>
      <x:c r="J395" t="str">
        <x:f>IF(COUNTA(A395:I395)=0,"",IF(OR(A395="",B395="",C395="",F395="",G395=""),"Complete entry",IF(F395&lt;=0,"Check amount",IF(G395="Cancelled","Cancelled",IF(G395="Paid",IF(H395="","Enter paid date","Paid"),IF(E395="","Enter due date",IF(E395&lt;'Data &amp; Targets'!$C$10,"Overdue",IF(E395&lt;'Data &amp; Targets'!$C$10+30,"Due next 30 days","Unpaid"))))))))</x:f>
      </x:c>
    </x:row>
    <x:row r="396" ht="22" customHeight="1">
      <x:c r="A396" s="107"/>
      <x:c r="B396" s="107"/>
      <x:c r="C396" s="107"/>
      <x:c r="D396" s="107"/>
      <x:c r="E396" s="111"/>
      <x:c r="F396" s="109"/>
      <x:c r="G396" s="107"/>
      <x:c r="H396" s="111"/>
      <x:c r="I396" s="107"/>
      <x:c r="J396" t="str">
        <x:f>IF(COUNTA(A396:I396)=0,"",IF(OR(A396="",B396="",C396="",F396="",G396=""),"Complete entry",IF(F396&lt;=0,"Check amount",IF(G396="Cancelled","Cancelled",IF(G396="Paid",IF(H396="","Enter paid date","Paid"),IF(E396="","Enter due date",IF(E396&lt;'Data &amp; Targets'!$C$10,"Overdue",IF(E396&lt;'Data &amp; Targets'!$C$10+30,"Due next 30 days","Unpaid"))))))))</x:f>
      </x:c>
    </x:row>
    <x:row r="397" ht="22" customHeight="1">
      <x:c r="A397" s="107"/>
      <x:c r="B397" s="107"/>
      <x:c r="C397" s="107"/>
      <x:c r="D397" s="107"/>
      <x:c r="E397" s="111"/>
      <x:c r="F397" s="109"/>
      <x:c r="G397" s="107"/>
      <x:c r="H397" s="111"/>
      <x:c r="I397" s="107"/>
      <x:c r="J397" t="str">
        <x:f>IF(COUNTA(A397:I397)=0,"",IF(OR(A397="",B397="",C397="",F397="",G397=""),"Complete entry",IF(F397&lt;=0,"Check amount",IF(G397="Cancelled","Cancelled",IF(G397="Paid",IF(H397="","Enter paid date","Paid"),IF(E397="","Enter due date",IF(E397&lt;'Data &amp; Targets'!$C$10,"Overdue",IF(E397&lt;'Data &amp; Targets'!$C$10+30,"Due next 30 days","Unpaid"))))))))</x:f>
      </x:c>
    </x:row>
    <x:row r="398" ht="22" customHeight="1">
      <x:c r="A398" s="107"/>
      <x:c r="B398" s="107"/>
      <x:c r="C398" s="107"/>
      <x:c r="D398" s="107"/>
      <x:c r="E398" s="111"/>
      <x:c r="F398" s="109"/>
      <x:c r="G398" s="107"/>
      <x:c r="H398" s="111"/>
      <x:c r="I398" s="107"/>
      <x:c r="J398" t="str">
        <x:f>IF(COUNTA(A398:I398)=0,"",IF(OR(A398="",B398="",C398="",F398="",G398=""),"Complete entry",IF(F398&lt;=0,"Check amount",IF(G398="Cancelled","Cancelled",IF(G398="Paid",IF(H398="","Enter paid date","Paid"),IF(E398="","Enter due date",IF(E398&lt;'Data &amp; Targets'!$C$10,"Overdue",IF(E398&lt;'Data &amp; Targets'!$C$10+30,"Due next 30 days","Unpaid"))))))))</x:f>
      </x:c>
    </x:row>
    <x:row r="399" ht="22" customHeight="1">
      <x:c r="A399" s="107"/>
      <x:c r="B399" s="107"/>
      <x:c r="C399" s="107"/>
      <x:c r="D399" s="107"/>
      <x:c r="E399" s="111"/>
      <x:c r="F399" s="109"/>
      <x:c r="G399" s="107"/>
      <x:c r="H399" s="111"/>
      <x:c r="I399" s="107"/>
      <x:c r="J399" t="str">
        <x:f>IF(COUNTA(A399:I399)=0,"",IF(OR(A399="",B399="",C399="",F399="",G399=""),"Complete entry",IF(F399&lt;=0,"Check amount",IF(G399="Cancelled","Cancelled",IF(G399="Paid",IF(H399="","Enter paid date","Paid"),IF(E399="","Enter due date",IF(E399&lt;'Data &amp; Targets'!$C$10,"Overdue",IF(E399&lt;'Data &amp; Targets'!$C$10+30,"Due next 30 days","Unpaid"))))))))</x:f>
      </x:c>
    </x:row>
    <x:row r="400" ht="22" customHeight="1">
      <x:c r="A400" s="107"/>
      <x:c r="B400" s="107"/>
      <x:c r="C400" s="107"/>
      <x:c r="D400" s="107"/>
      <x:c r="E400" s="111"/>
      <x:c r="F400" s="109"/>
      <x:c r="G400" s="107"/>
      <x:c r="H400" s="111"/>
      <x:c r="I400" s="107"/>
      <x:c r="J400" t="str">
        <x:f>IF(COUNTA(A400:I400)=0,"",IF(OR(A400="",B400="",C400="",F400="",G400=""),"Complete entry",IF(F400&lt;=0,"Check amount",IF(G400="Cancelled","Cancelled",IF(G400="Paid",IF(H400="","Enter paid date","Paid"),IF(E400="","Enter due date",IF(E400&lt;'Data &amp; Targets'!$C$10,"Overdue",IF(E400&lt;'Data &amp; Targets'!$C$10+30,"Due next 30 days","Unpaid"))))))))</x:f>
      </x:c>
    </x:row>
    <x:row r="401" ht="22" customHeight="1">
      <x:c r="A401" s="107"/>
      <x:c r="B401" s="107"/>
      <x:c r="C401" s="107"/>
      <x:c r="D401" s="107"/>
      <x:c r="E401" s="111"/>
      <x:c r="F401" s="109"/>
      <x:c r="G401" s="107"/>
      <x:c r="H401" s="111"/>
      <x:c r="I401" s="107"/>
      <x:c r="J401" t="str">
        <x:f>IF(COUNTA(A401:I401)=0,"",IF(OR(A401="",B401="",C401="",F401="",G401=""),"Complete entry",IF(F401&lt;=0,"Check amount",IF(G401="Cancelled","Cancelled",IF(G401="Paid",IF(H401="","Enter paid date","Paid"),IF(E401="","Enter due date",IF(E401&lt;'Data &amp; Targets'!$C$10,"Overdue",IF(E401&lt;'Data &amp; Targets'!$C$10+30,"Due next 30 days","Unpaid"))))))))</x:f>
      </x:c>
    </x:row>
    <x:row r="402" ht="22" customHeight="1">
      <x:c r="A402" s="107"/>
      <x:c r="B402" s="107"/>
      <x:c r="C402" s="107"/>
      <x:c r="D402" s="107"/>
      <x:c r="E402" s="111"/>
      <x:c r="F402" s="109"/>
      <x:c r="G402" s="107"/>
      <x:c r="H402" s="111"/>
      <x:c r="I402" s="107"/>
      <x:c r="J402" t="str">
        <x:f>IF(COUNTA(A402:I402)=0,"",IF(OR(A402="",B402="",C402="",F402="",G402=""),"Complete entry",IF(F402&lt;=0,"Check amount",IF(G402="Cancelled","Cancelled",IF(G402="Paid",IF(H402="","Enter paid date","Paid"),IF(E402="","Enter due date",IF(E402&lt;'Data &amp; Targets'!$C$10,"Overdue",IF(E402&lt;'Data &amp; Targets'!$C$10+30,"Due next 30 days","Unpaid"))))))))</x:f>
      </x:c>
    </x:row>
    <x:row r="403" ht="22" customHeight="1">
      <x:c r="A403" s="107"/>
      <x:c r="B403" s="107"/>
      <x:c r="C403" s="107"/>
      <x:c r="D403" s="107"/>
      <x:c r="E403" s="111"/>
      <x:c r="F403" s="109"/>
      <x:c r="G403" s="107"/>
      <x:c r="H403" s="111"/>
      <x:c r="I403" s="107"/>
      <x:c r="J403" t="str">
        <x:f>IF(COUNTA(A403:I403)=0,"",IF(OR(A403="",B403="",C403="",F403="",G403=""),"Complete entry",IF(F403&lt;=0,"Check amount",IF(G403="Cancelled","Cancelled",IF(G403="Paid",IF(H403="","Enter paid date","Paid"),IF(E403="","Enter due date",IF(E403&lt;'Data &amp; Targets'!$C$10,"Overdue",IF(E403&lt;'Data &amp; Targets'!$C$10+30,"Due next 30 days","Unpaid"))))))))</x:f>
      </x:c>
    </x:row>
    <x:row r="404" ht="22" customHeight="1">
      <x:c r="A404" s="107"/>
      <x:c r="B404" s="107"/>
      <x:c r="C404" s="107"/>
      <x:c r="D404" s="107"/>
      <x:c r="E404" s="111"/>
      <x:c r="F404" s="109"/>
      <x:c r="G404" s="107"/>
      <x:c r="H404" s="111"/>
      <x:c r="I404" s="107"/>
      <x:c r="J404" t="str">
        <x:f>IF(COUNTA(A404:I404)=0,"",IF(OR(A404="",B404="",C404="",F404="",G404=""),"Complete entry",IF(F404&lt;=0,"Check amount",IF(G404="Cancelled","Cancelled",IF(G404="Paid",IF(H404="","Enter paid date","Paid"),IF(E404="","Enter due date",IF(E404&lt;'Data &amp; Targets'!$C$10,"Overdue",IF(E404&lt;'Data &amp; Targets'!$C$10+30,"Due next 30 days","Unpaid"))))))))</x:f>
      </x:c>
    </x:row>
    <x:row r="405" ht="22" customHeight="1">
      <x:c r="A405" s="107"/>
      <x:c r="B405" s="107"/>
      <x:c r="C405" s="107"/>
      <x:c r="D405" s="107"/>
      <x:c r="E405" s="111"/>
      <x:c r="F405" s="109"/>
      <x:c r="G405" s="107"/>
      <x:c r="H405" s="111"/>
      <x:c r="I405" s="107"/>
      <x:c r="J405" t="str">
        <x:f>IF(COUNTA(A405:I405)=0,"",IF(OR(A405="",B405="",C405="",F405="",G405=""),"Complete entry",IF(F405&lt;=0,"Check amount",IF(G405="Cancelled","Cancelled",IF(G405="Paid",IF(H405="","Enter paid date","Paid"),IF(E405="","Enter due date",IF(E405&lt;'Data &amp; Targets'!$C$10,"Overdue",IF(E405&lt;'Data &amp; Targets'!$C$10+30,"Due next 30 days","Unpaid"))))))))</x:f>
      </x:c>
    </x:row>
    <x:row r="406" ht="22" customHeight="1">
      <x:c r="A406" s="107"/>
      <x:c r="B406" s="107"/>
      <x:c r="C406" s="107"/>
      <x:c r="D406" s="107"/>
      <x:c r="E406" s="111"/>
      <x:c r="F406" s="109"/>
      <x:c r="G406" s="107"/>
      <x:c r="H406" s="111"/>
      <x:c r="I406" s="107"/>
      <x:c r="J406" t="str">
        <x:f>IF(COUNTA(A406:I406)=0,"",IF(OR(A406="",B406="",C406="",F406="",G406=""),"Complete entry",IF(F406&lt;=0,"Check amount",IF(G406="Cancelled","Cancelled",IF(G406="Paid",IF(H406="","Enter paid date","Paid"),IF(E406="","Enter due date",IF(E406&lt;'Data &amp; Targets'!$C$10,"Overdue",IF(E406&lt;'Data &amp; Targets'!$C$10+30,"Due next 30 days","Unpaid"))))))))</x:f>
      </x:c>
    </x:row>
    <x:row r="407" ht="22" customHeight="1">
      <x:c r="A407" s="107"/>
      <x:c r="B407" s="107"/>
      <x:c r="C407" s="107"/>
      <x:c r="D407" s="107"/>
      <x:c r="E407" s="111"/>
      <x:c r="F407" s="109"/>
      <x:c r="G407" s="107"/>
      <x:c r="H407" s="111"/>
      <x:c r="I407" s="107"/>
      <x:c r="J407" t="str">
        <x:f>IF(COUNTA(A407:I407)=0,"",IF(OR(A407="",B407="",C407="",F407="",G407=""),"Complete entry",IF(F407&lt;=0,"Check amount",IF(G407="Cancelled","Cancelled",IF(G407="Paid",IF(H407="","Enter paid date","Paid"),IF(E407="","Enter due date",IF(E407&lt;'Data &amp; Targets'!$C$10,"Overdue",IF(E407&lt;'Data &amp; Targets'!$C$10+30,"Due next 30 days","Unpaid"))))))))</x:f>
      </x:c>
    </x:row>
    <x:row r="408" ht="22" customHeight="1">
      <x:c r="A408" s="107"/>
      <x:c r="B408" s="107"/>
      <x:c r="C408" s="107"/>
      <x:c r="D408" s="107"/>
      <x:c r="E408" s="111"/>
      <x:c r="F408" s="109"/>
      <x:c r="G408" s="107"/>
      <x:c r="H408" s="111"/>
      <x:c r="I408" s="107"/>
      <x:c r="J408" t="str">
        <x:f>IF(COUNTA(A408:I408)=0,"",IF(OR(A408="",B408="",C408="",F408="",G408=""),"Complete entry",IF(F408&lt;=0,"Check amount",IF(G408="Cancelled","Cancelled",IF(G408="Paid",IF(H408="","Enter paid date","Paid"),IF(E408="","Enter due date",IF(E408&lt;'Data &amp; Targets'!$C$10,"Overdue",IF(E408&lt;'Data &amp; Targets'!$C$10+30,"Due next 30 days","Unpaid"))))))))</x:f>
      </x:c>
    </x:row>
    <x:row r="409" ht="22" customHeight="1">
      <x:c r="A409" s="107"/>
      <x:c r="B409" s="107"/>
      <x:c r="C409" s="107"/>
      <x:c r="D409" s="107"/>
      <x:c r="E409" s="111"/>
      <x:c r="F409" s="109"/>
      <x:c r="G409" s="107"/>
      <x:c r="H409" s="111"/>
      <x:c r="I409" s="107"/>
      <x:c r="J409" t="str">
        <x:f>IF(COUNTA(A409:I409)=0,"",IF(OR(A409="",B409="",C409="",F409="",G409=""),"Complete entry",IF(F409&lt;=0,"Check amount",IF(G409="Cancelled","Cancelled",IF(G409="Paid",IF(H409="","Enter paid date","Paid"),IF(E409="","Enter due date",IF(E409&lt;'Data &amp; Targets'!$C$10,"Overdue",IF(E409&lt;'Data &amp; Targets'!$C$10+30,"Due next 30 days","Unpaid"))))))))</x:f>
      </x:c>
    </x:row>
    <x:row r="410" ht="22" customHeight="1">
      <x:c r="A410" s="107"/>
      <x:c r="B410" s="107"/>
      <x:c r="C410" s="107"/>
      <x:c r="D410" s="107"/>
      <x:c r="E410" s="111"/>
      <x:c r="F410" s="109"/>
      <x:c r="G410" s="107"/>
      <x:c r="H410" s="111"/>
      <x:c r="I410" s="107"/>
      <x:c r="J410" t="str">
        <x:f>IF(COUNTA(A410:I410)=0,"",IF(OR(A410="",B410="",C410="",F410="",G410=""),"Complete entry",IF(F410&lt;=0,"Check amount",IF(G410="Cancelled","Cancelled",IF(G410="Paid",IF(H410="","Enter paid date","Paid"),IF(E410="","Enter due date",IF(E410&lt;'Data &amp; Targets'!$C$10,"Overdue",IF(E410&lt;'Data &amp; Targets'!$C$10+30,"Due next 30 days","Unpaid"))))))))</x:f>
      </x:c>
    </x:row>
    <x:row r="411" ht="22" customHeight="1">
      <x:c r="A411" s="107"/>
      <x:c r="B411" s="107"/>
      <x:c r="C411" s="107"/>
      <x:c r="D411" s="107"/>
      <x:c r="E411" s="111"/>
      <x:c r="F411" s="109"/>
      <x:c r="G411" s="107"/>
      <x:c r="H411" s="111"/>
      <x:c r="I411" s="107"/>
      <x:c r="J411" t="str">
        <x:f>IF(COUNTA(A411:I411)=0,"",IF(OR(A411="",B411="",C411="",F411="",G411=""),"Complete entry",IF(F411&lt;=0,"Check amount",IF(G411="Cancelled","Cancelled",IF(G411="Paid",IF(H411="","Enter paid date","Paid"),IF(E411="","Enter due date",IF(E411&lt;'Data &amp; Targets'!$C$10,"Overdue",IF(E411&lt;'Data &amp; Targets'!$C$10+30,"Due next 30 days","Unpaid"))))))))</x:f>
      </x:c>
    </x:row>
    <x:row r="412" ht="22" customHeight="1">
      <x:c r="A412" s="107"/>
      <x:c r="B412" s="107"/>
      <x:c r="C412" s="107"/>
      <x:c r="D412" s="107"/>
      <x:c r="E412" s="111"/>
      <x:c r="F412" s="109"/>
      <x:c r="G412" s="107"/>
      <x:c r="H412" s="111"/>
      <x:c r="I412" s="107"/>
      <x:c r="J412" t="str">
        <x:f>IF(COUNTA(A412:I412)=0,"",IF(OR(A412="",B412="",C412="",F412="",G412=""),"Complete entry",IF(F412&lt;=0,"Check amount",IF(G412="Cancelled","Cancelled",IF(G412="Paid",IF(H412="","Enter paid date","Paid"),IF(E412="","Enter due date",IF(E412&lt;'Data &amp; Targets'!$C$10,"Overdue",IF(E412&lt;'Data &amp; Targets'!$C$10+30,"Due next 30 days","Unpaid"))))))))</x:f>
      </x:c>
    </x:row>
    <x:row r="413" ht="22" customHeight="1">
      <x:c r="A413" s="107"/>
      <x:c r="B413" s="107"/>
      <x:c r="C413" s="107"/>
      <x:c r="D413" s="107"/>
      <x:c r="E413" s="111"/>
      <x:c r="F413" s="109"/>
      <x:c r="G413" s="107"/>
      <x:c r="H413" s="111"/>
      <x:c r="I413" s="107"/>
      <x:c r="J413" t="str">
        <x:f>IF(COUNTA(A413:I413)=0,"",IF(OR(A413="",B413="",C413="",F413="",G413=""),"Complete entry",IF(F413&lt;=0,"Check amount",IF(G413="Cancelled","Cancelled",IF(G413="Paid",IF(H413="","Enter paid date","Paid"),IF(E413="","Enter due date",IF(E413&lt;'Data &amp; Targets'!$C$10,"Overdue",IF(E413&lt;'Data &amp; Targets'!$C$10+30,"Due next 30 days","Unpaid"))))))))</x:f>
      </x:c>
    </x:row>
    <x:row r="414" ht="22" customHeight="1">
      <x:c r="A414" s="107"/>
      <x:c r="B414" s="107"/>
      <x:c r="C414" s="107"/>
      <x:c r="D414" s="107"/>
      <x:c r="E414" s="111"/>
      <x:c r="F414" s="109"/>
      <x:c r="G414" s="107"/>
      <x:c r="H414" s="111"/>
      <x:c r="I414" s="107"/>
      <x:c r="J414" t="str">
        <x:f>IF(COUNTA(A414:I414)=0,"",IF(OR(A414="",B414="",C414="",F414="",G414=""),"Complete entry",IF(F414&lt;=0,"Check amount",IF(G414="Cancelled","Cancelled",IF(G414="Paid",IF(H414="","Enter paid date","Paid"),IF(E414="","Enter due date",IF(E414&lt;'Data &amp; Targets'!$C$10,"Overdue",IF(E414&lt;'Data &amp; Targets'!$C$10+30,"Due next 30 days","Unpaid"))))))))</x:f>
      </x:c>
    </x:row>
    <x:row r="415" ht="22" customHeight="1">
      <x:c r="A415" s="107"/>
      <x:c r="B415" s="107"/>
      <x:c r="C415" s="107"/>
      <x:c r="D415" s="107"/>
      <x:c r="E415" s="111"/>
      <x:c r="F415" s="109"/>
      <x:c r="G415" s="107"/>
      <x:c r="H415" s="111"/>
      <x:c r="I415" s="107"/>
      <x:c r="J415" t="str">
        <x:f>IF(COUNTA(A415:I415)=0,"",IF(OR(A415="",B415="",C415="",F415="",G415=""),"Complete entry",IF(F415&lt;=0,"Check amount",IF(G415="Cancelled","Cancelled",IF(G415="Paid",IF(H415="","Enter paid date","Paid"),IF(E415="","Enter due date",IF(E415&lt;'Data &amp; Targets'!$C$10,"Overdue",IF(E415&lt;'Data &amp; Targets'!$C$10+30,"Due next 30 days","Unpaid"))))))))</x:f>
      </x:c>
    </x:row>
    <x:row r="416" ht="22" customHeight="1">
      <x:c r="A416" s="107"/>
      <x:c r="B416" s="107"/>
      <x:c r="C416" s="107"/>
      <x:c r="D416" s="107"/>
      <x:c r="E416" s="111"/>
      <x:c r="F416" s="109"/>
      <x:c r="G416" s="107"/>
      <x:c r="H416" s="111"/>
      <x:c r="I416" s="107"/>
      <x:c r="J416" t="str">
        <x:f>IF(COUNTA(A416:I416)=0,"",IF(OR(A416="",B416="",C416="",F416="",G416=""),"Complete entry",IF(F416&lt;=0,"Check amount",IF(G416="Cancelled","Cancelled",IF(G416="Paid",IF(H416="","Enter paid date","Paid"),IF(E416="","Enter due date",IF(E416&lt;'Data &amp; Targets'!$C$10,"Overdue",IF(E416&lt;'Data &amp; Targets'!$C$10+30,"Due next 30 days","Unpaid"))))))))</x:f>
      </x:c>
    </x:row>
    <x:row r="417" ht="22" customHeight="1">
      <x:c r="A417" s="107"/>
      <x:c r="B417" s="107"/>
      <x:c r="C417" s="107"/>
      <x:c r="D417" s="107"/>
      <x:c r="E417" s="111"/>
      <x:c r="F417" s="109"/>
      <x:c r="G417" s="107"/>
      <x:c r="H417" s="111"/>
      <x:c r="I417" s="107"/>
      <x:c r="J417" t="str">
        <x:f>IF(COUNTA(A417:I417)=0,"",IF(OR(A417="",B417="",C417="",F417="",G417=""),"Complete entry",IF(F417&lt;=0,"Check amount",IF(G417="Cancelled","Cancelled",IF(G417="Paid",IF(H417="","Enter paid date","Paid"),IF(E417="","Enter due date",IF(E417&lt;'Data &amp; Targets'!$C$10,"Overdue",IF(E417&lt;'Data &amp; Targets'!$C$10+30,"Due next 30 days","Unpaid"))))))))</x:f>
      </x:c>
    </x:row>
    <x:row r="418" ht="22" customHeight="1">
      <x:c r="A418" s="107"/>
      <x:c r="B418" s="107"/>
      <x:c r="C418" s="107"/>
      <x:c r="D418" s="107"/>
      <x:c r="E418" s="111"/>
      <x:c r="F418" s="109"/>
      <x:c r="G418" s="107"/>
      <x:c r="H418" s="111"/>
      <x:c r="I418" s="107"/>
      <x:c r="J418" t="str">
        <x:f>IF(COUNTA(A418:I418)=0,"",IF(OR(A418="",B418="",C418="",F418="",G418=""),"Complete entry",IF(F418&lt;=0,"Check amount",IF(G418="Cancelled","Cancelled",IF(G418="Paid",IF(H418="","Enter paid date","Paid"),IF(E418="","Enter due date",IF(E418&lt;'Data &amp; Targets'!$C$10,"Overdue",IF(E418&lt;'Data &amp; Targets'!$C$10+30,"Due next 30 days","Unpaid"))))))))</x:f>
      </x:c>
    </x:row>
    <x:row r="419" ht="22" customHeight="1">
      <x:c r="A419" s="107"/>
      <x:c r="B419" s="107"/>
      <x:c r="C419" s="107"/>
      <x:c r="D419" s="107"/>
      <x:c r="E419" s="111"/>
      <x:c r="F419" s="109"/>
      <x:c r="G419" s="107"/>
      <x:c r="H419" s="111"/>
      <x:c r="I419" s="107"/>
      <x:c r="J419" t="str">
        <x:f>IF(COUNTA(A419:I419)=0,"",IF(OR(A419="",B419="",C419="",F419="",G419=""),"Complete entry",IF(F419&lt;=0,"Check amount",IF(G419="Cancelled","Cancelled",IF(G419="Paid",IF(H419="","Enter paid date","Paid"),IF(E419="","Enter due date",IF(E419&lt;'Data &amp; Targets'!$C$10,"Overdue",IF(E419&lt;'Data &amp; Targets'!$C$10+30,"Due next 30 days","Unpaid"))))))))</x:f>
      </x:c>
    </x:row>
    <x:row r="420" ht="22" customHeight="1">
      <x:c r="A420" s="107"/>
      <x:c r="B420" s="107"/>
      <x:c r="C420" s="107"/>
      <x:c r="D420" s="107"/>
      <x:c r="E420" s="111"/>
      <x:c r="F420" s="109"/>
      <x:c r="G420" s="107"/>
      <x:c r="H420" s="111"/>
      <x:c r="I420" s="107"/>
      <x:c r="J420" t="str">
        <x:f>IF(COUNTA(A420:I420)=0,"",IF(OR(A420="",B420="",C420="",F420="",G420=""),"Complete entry",IF(F420&lt;=0,"Check amount",IF(G420="Cancelled","Cancelled",IF(G420="Paid",IF(H420="","Enter paid date","Paid"),IF(E420="","Enter due date",IF(E420&lt;'Data &amp; Targets'!$C$10,"Overdue",IF(E420&lt;'Data &amp; Targets'!$C$10+30,"Due next 30 days","Unpaid"))))))))</x:f>
      </x:c>
    </x:row>
    <x:row r="421" ht="22" customHeight="1">
      <x:c r="A421" s="107"/>
      <x:c r="B421" s="107"/>
      <x:c r="C421" s="107"/>
      <x:c r="D421" s="107"/>
      <x:c r="E421" s="111"/>
      <x:c r="F421" s="109"/>
      <x:c r="G421" s="107"/>
      <x:c r="H421" s="111"/>
      <x:c r="I421" s="107"/>
      <x:c r="J421" t="str">
        <x:f>IF(COUNTA(A421:I421)=0,"",IF(OR(A421="",B421="",C421="",F421="",G421=""),"Complete entry",IF(F421&lt;=0,"Check amount",IF(G421="Cancelled","Cancelled",IF(G421="Paid",IF(H421="","Enter paid date","Paid"),IF(E421="","Enter due date",IF(E421&lt;'Data &amp; Targets'!$C$10,"Overdue",IF(E421&lt;'Data &amp; Targets'!$C$10+30,"Due next 30 days","Unpaid"))))))))</x:f>
      </x:c>
    </x:row>
    <x:row r="422" ht="22" customHeight="1">
      <x:c r="A422" s="107"/>
      <x:c r="B422" s="107"/>
      <x:c r="C422" s="107"/>
      <x:c r="D422" s="107"/>
      <x:c r="E422" s="111"/>
      <x:c r="F422" s="109"/>
      <x:c r="G422" s="107"/>
      <x:c r="H422" s="111"/>
      <x:c r="I422" s="107"/>
      <x:c r="J422" t="str">
        <x:f>IF(COUNTA(A422:I422)=0,"",IF(OR(A422="",B422="",C422="",F422="",G422=""),"Complete entry",IF(F422&lt;=0,"Check amount",IF(G422="Cancelled","Cancelled",IF(G422="Paid",IF(H422="","Enter paid date","Paid"),IF(E422="","Enter due date",IF(E422&lt;'Data &amp; Targets'!$C$10,"Overdue",IF(E422&lt;'Data &amp; Targets'!$C$10+30,"Due next 30 days","Unpaid"))))))))</x:f>
      </x:c>
    </x:row>
    <x:row r="423" ht="22" customHeight="1">
      <x:c r="A423" s="107"/>
      <x:c r="B423" s="107"/>
      <x:c r="C423" s="107"/>
      <x:c r="D423" s="107"/>
      <x:c r="E423" s="111"/>
      <x:c r="F423" s="109"/>
      <x:c r="G423" s="107"/>
      <x:c r="H423" s="111"/>
      <x:c r="I423" s="107"/>
      <x:c r="J423" t="str">
        <x:f>IF(COUNTA(A423:I423)=0,"",IF(OR(A423="",B423="",C423="",F423="",G423=""),"Complete entry",IF(F423&lt;=0,"Check amount",IF(G423="Cancelled","Cancelled",IF(G423="Paid",IF(H423="","Enter paid date","Paid"),IF(E423="","Enter due date",IF(E423&lt;'Data &amp; Targets'!$C$10,"Overdue",IF(E423&lt;'Data &amp; Targets'!$C$10+30,"Due next 30 days","Unpaid"))))))))</x:f>
      </x:c>
    </x:row>
    <x:row r="424" ht="22" customHeight="1">
      <x:c r="A424" s="107"/>
      <x:c r="B424" s="107"/>
      <x:c r="C424" s="107"/>
      <x:c r="D424" s="107"/>
      <x:c r="E424" s="111"/>
      <x:c r="F424" s="109"/>
      <x:c r="G424" s="107"/>
      <x:c r="H424" s="111"/>
      <x:c r="I424" s="107"/>
      <x:c r="J424" t="str">
        <x:f>IF(COUNTA(A424:I424)=0,"",IF(OR(A424="",B424="",C424="",F424="",G424=""),"Complete entry",IF(F424&lt;=0,"Check amount",IF(G424="Cancelled","Cancelled",IF(G424="Paid",IF(H424="","Enter paid date","Paid"),IF(E424="","Enter due date",IF(E424&lt;'Data &amp; Targets'!$C$10,"Overdue",IF(E424&lt;'Data &amp; Targets'!$C$10+30,"Due next 30 days","Unpaid"))))))))</x:f>
      </x:c>
    </x:row>
    <x:row r="425" ht="22" customHeight="1">
      <x:c r="A425" s="107"/>
      <x:c r="B425" s="107"/>
      <x:c r="C425" s="107"/>
      <x:c r="D425" s="107"/>
      <x:c r="E425" s="111"/>
      <x:c r="F425" s="109"/>
      <x:c r="G425" s="107"/>
      <x:c r="H425" s="111"/>
      <x:c r="I425" s="107"/>
      <x:c r="J425" t="str">
        <x:f>IF(COUNTA(A425:I425)=0,"",IF(OR(A425="",B425="",C425="",F425="",G425=""),"Complete entry",IF(F425&lt;=0,"Check amount",IF(G425="Cancelled","Cancelled",IF(G425="Paid",IF(H425="","Enter paid date","Paid"),IF(E425="","Enter due date",IF(E425&lt;'Data &amp; Targets'!$C$10,"Overdue",IF(E425&lt;'Data &amp; Targets'!$C$10+30,"Due next 30 days","Unpaid"))))))))</x:f>
      </x:c>
    </x:row>
    <x:row r="426" ht="22" customHeight="1">
      <x:c r="A426" s="107"/>
      <x:c r="B426" s="107"/>
      <x:c r="C426" s="107"/>
      <x:c r="D426" s="107"/>
      <x:c r="E426" s="111"/>
      <x:c r="F426" s="109"/>
      <x:c r="G426" s="107"/>
      <x:c r="H426" s="111"/>
      <x:c r="I426" s="107"/>
      <x:c r="J426" t="str">
        <x:f>IF(COUNTA(A426:I426)=0,"",IF(OR(A426="",B426="",C426="",F426="",G426=""),"Complete entry",IF(F426&lt;=0,"Check amount",IF(G426="Cancelled","Cancelled",IF(G426="Paid",IF(H426="","Enter paid date","Paid"),IF(E426="","Enter due date",IF(E426&lt;'Data &amp; Targets'!$C$10,"Overdue",IF(E426&lt;'Data &amp; Targets'!$C$10+30,"Due next 30 days","Unpaid"))))))))</x:f>
      </x:c>
    </x:row>
    <x:row r="427" ht="22" customHeight="1">
      <x:c r="A427" s="107"/>
      <x:c r="B427" s="107"/>
      <x:c r="C427" s="107"/>
      <x:c r="D427" s="107"/>
      <x:c r="E427" s="111"/>
      <x:c r="F427" s="109"/>
      <x:c r="G427" s="107"/>
      <x:c r="H427" s="111"/>
      <x:c r="I427" s="107"/>
      <x:c r="J427" t="str">
        <x:f>IF(COUNTA(A427:I427)=0,"",IF(OR(A427="",B427="",C427="",F427="",G427=""),"Complete entry",IF(F427&lt;=0,"Check amount",IF(G427="Cancelled","Cancelled",IF(G427="Paid",IF(H427="","Enter paid date","Paid"),IF(E427="","Enter due date",IF(E427&lt;'Data &amp; Targets'!$C$10,"Overdue",IF(E427&lt;'Data &amp; Targets'!$C$10+30,"Due next 30 days","Unpaid"))))))))</x:f>
      </x:c>
    </x:row>
    <x:row r="428" ht="22" customHeight="1">
      <x:c r="A428" s="107"/>
      <x:c r="B428" s="107"/>
      <x:c r="C428" s="107"/>
      <x:c r="D428" s="107"/>
      <x:c r="E428" s="111"/>
      <x:c r="F428" s="109"/>
      <x:c r="G428" s="107"/>
      <x:c r="H428" s="111"/>
      <x:c r="I428" s="107"/>
      <x:c r="J428" t="str">
        <x:f>IF(COUNTA(A428:I428)=0,"",IF(OR(A428="",B428="",C428="",F428="",G428=""),"Complete entry",IF(F428&lt;=0,"Check amount",IF(G428="Cancelled","Cancelled",IF(G428="Paid",IF(H428="","Enter paid date","Paid"),IF(E428="","Enter due date",IF(E428&lt;'Data &amp; Targets'!$C$10,"Overdue",IF(E428&lt;'Data &amp; Targets'!$C$10+30,"Due next 30 days","Unpaid"))))))))</x:f>
      </x:c>
    </x:row>
    <x:row r="429" ht="22" customHeight="1">
      <x:c r="A429" s="107"/>
      <x:c r="B429" s="107"/>
      <x:c r="C429" s="107"/>
      <x:c r="D429" s="107"/>
      <x:c r="E429" s="111"/>
      <x:c r="F429" s="109"/>
      <x:c r="G429" s="107"/>
      <x:c r="H429" s="111"/>
      <x:c r="I429" s="107"/>
      <x:c r="J429" t="str">
        <x:f>IF(COUNTA(A429:I429)=0,"",IF(OR(A429="",B429="",C429="",F429="",G429=""),"Complete entry",IF(F429&lt;=0,"Check amount",IF(G429="Cancelled","Cancelled",IF(G429="Paid",IF(H429="","Enter paid date","Paid"),IF(E429="","Enter due date",IF(E429&lt;'Data &amp; Targets'!$C$10,"Overdue",IF(E429&lt;'Data &amp; Targets'!$C$10+30,"Due next 30 days","Unpaid"))))))))</x:f>
      </x:c>
    </x:row>
    <x:row r="430" ht="22" customHeight="1">
      <x:c r="A430" s="107"/>
      <x:c r="B430" s="107"/>
      <x:c r="C430" s="107"/>
      <x:c r="D430" s="107"/>
      <x:c r="E430" s="111"/>
      <x:c r="F430" s="109"/>
      <x:c r="G430" s="107"/>
      <x:c r="H430" s="111"/>
      <x:c r="I430" s="107"/>
      <x:c r="J430" t="str">
        <x:f>IF(COUNTA(A430:I430)=0,"",IF(OR(A430="",B430="",C430="",F430="",G430=""),"Complete entry",IF(F430&lt;=0,"Check amount",IF(G430="Cancelled","Cancelled",IF(G430="Paid",IF(H430="","Enter paid date","Paid"),IF(E430="","Enter due date",IF(E430&lt;'Data &amp; Targets'!$C$10,"Overdue",IF(E430&lt;'Data &amp; Targets'!$C$10+30,"Due next 30 days","Unpaid"))))))))</x:f>
      </x:c>
    </x:row>
    <x:row r="431" ht="22" customHeight="1">
      <x:c r="A431" s="107"/>
      <x:c r="B431" s="107"/>
      <x:c r="C431" s="107"/>
      <x:c r="D431" s="107"/>
      <x:c r="E431" s="111"/>
      <x:c r="F431" s="109"/>
      <x:c r="G431" s="107"/>
      <x:c r="H431" s="111"/>
      <x:c r="I431" s="107"/>
      <x:c r="J431" t="str">
        <x:f>IF(COUNTA(A431:I431)=0,"",IF(OR(A431="",B431="",C431="",F431="",G431=""),"Complete entry",IF(F431&lt;=0,"Check amount",IF(G431="Cancelled","Cancelled",IF(G431="Paid",IF(H431="","Enter paid date","Paid"),IF(E431="","Enter due date",IF(E431&lt;'Data &amp; Targets'!$C$10,"Overdue",IF(E431&lt;'Data &amp; Targets'!$C$10+30,"Due next 30 days","Unpaid"))))))))</x:f>
      </x:c>
    </x:row>
    <x:row r="432" ht="22" customHeight="1">
      <x:c r="A432" s="107"/>
      <x:c r="B432" s="107"/>
      <x:c r="C432" s="107"/>
      <x:c r="D432" s="107"/>
      <x:c r="E432" s="111"/>
      <x:c r="F432" s="109"/>
      <x:c r="G432" s="107"/>
      <x:c r="H432" s="111"/>
      <x:c r="I432" s="107"/>
      <x:c r="J432" t="str">
        <x:f>IF(COUNTA(A432:I432)=0,"",IF(OR(A432="",B432="",C432="",F432="",G432=""),"Complete entry",IF(F432&lt;=0,"Check amount",IF(G432="Cancelled","Cancelled",IF(G432="Paid",IF(H432="","Enter paid date","Paid"),IF(E432="","Enter due date",IF(E432&lt;'Data &amp; Targets'!$C$10,"Overdue",IF(E432&lt;'Data &amp; Targets'!$C$10+30,"Due next 30 days","Unpaid"))))))))</x:f>
      </x:c>
    </x:row>
    <x:row r="433" ht="22" customHeight="1">
      <x:c r="A433" s="107"/>
      <x:c r="B433" s="107"/>
      <x:c r="C433" s="107"/>
      <x:c r="D433" s="107"/>
      <x:c r="E433" s="111"/>
      <x:c r="F433" s="109"/>
      <x:c r="G433" s="107"/>
      <x:c r="H433" s="111"/>
      <x:c r="I433" s="107"/>
      <x:c r="J433" t="str">
        <x:f>IF(COUNTA(A433:I433)=0,"",IF(OR(A433="",B433="",C433="",F433="",G433=""),"Complete entry",IF(F433&lt;=0,"Check amount",IF(G433="Cancelled","Cancelled",IF(G433="Paid",IF(H433="","Enter paid date","Paid"),IF(E433="","Enter due date",IF(E433&lt;'Data &amp; Targets'!$C$10,"Overdue",IF(E433&lt;'Data &amp; Targets'!$C$10+30,"Due next 30 days","Unpaid"))))))))</x:f>
      </x:c>
    </x:row>
    <x:row r="434" ht="22" customHeight="1">
      <x:c r="A434" s="107"/>
      <x:c r="B434" s="107"/>
      <x:c r="C434" s="107"/>
      <x:c r="D434" s="107"/>
      <x:c r="E434" s="111"/>
      <x:c r="F434" s="109"/>
      <x:c r="G434" s="107"/>
      <x:c r="H434" s="111"/>
      <x:c r="I434" s="107"/>
      <x:c r="J434" t="str">
        <x:f>IF(COUNTA(A434:I434)=0,"",IF(OR(A434="",B434="",C434="",F434="",G434=""),"Complete entry",IF(F434&lt;=0,"Check amount",IF(G434="Cancelled","Cancelled",IF(G434="Paid",IF(H434="","Enter paid date","Paid"),IF(E434="","Enter due date",IF(E434&lt;'Data &amp; Targets'!$C$10,"Overdue",IF(E434&lt;'Data &amp; Targets'!$C$10+30,"Due next 30 days","Unpaid"))))))))</x:f>
      </x:c>
    </x:row>
    <x:row r="435" ht="22" customHeight="1">
      <x:c r="A435" s="107"/>
      <x:c r="B435" s="107"/>
      <x:c r="C435" s="107"/>
      <x:c r="D435" s="107"/>
      <x:c r="E435" s="111"/>
      <x:c r="F435" s="109"/>
      <x:c r="G435" s="107"/>
      <x:c r="H435" s="111"/>
      <x:c r="I435" s="107"/>
      <x:c r="J435" t="str">
        <x:f>IF(COUNTA(A435:I435)=0,"",IF(OR(A435="",B435="",C435="",F435="",G435=""),"Complete entry",IF(F435&lt;=0,"Check amount",IF(G435="Cancelled","Cancelled",IF(G435="Paid",IF(H435="","Enter paid date","Paid"),IF(E435="","Enter due date",IF(E435&lt;'Data &amp; Targets'!$C$10,"Overdue",IF(E435&lt;'Data &amp; Targets'!$C$10+30,"Due next 30 days","Unpaid"))))))))</x:f>
      </x:c>
    </x:row>
    <x:row r="436" ht="22" customHeight="1">
      <x:c r="A436" s="107"/>
      <x:c r="B436" s="107"/>
      <x:c r="C436" s="107"/>
      <x:c r="D436" s="107"/>
      <x:c r="E436" s="111"/>
      <x:c r="F436" s="109"/>
      <x:c r="G436" s="107"/>
      <x:c r="H436" s="111"/>
      <x:c r="I436" s="107"/>
      <x:c r="J436" t="str">
        <x:f>IF(COUNTA(A436:I436)=0,"",IF(OR(A436="",B436="",C436="",F436="",G436=""),"Complete entry",IF(F436&lt;=0,"Check amount",IF(G436="Cancelled","Cancelled",IF(G436="Paid",IF(H436="","Enter paid date","Paid"),IF(E436="","Enter due date",IF(E436&lt;'Data &amp; Targets'!$C$10,"Overdue",IF(E436&lt;'Data &amp; Targets'!$C$10+30,"Due next 30 days","Unpaid"))))))))</x:f>
      </x:c>
    </x:row>
    <x:row r="437" ht="22" customHeight="1">
      <x:c r="A437" s="107"/>
      <x:c r="B437" s="107"/>
      <x:c r="C437" s="107"/>
      <x:c r="D437" s="107"/>
      <x:c r="E437" s="111"/>
      <x:c r="F437" s="109"/>
      <x:c r="G437" s="107"/>
      <x:c r="H437" s="111"/>
      <x:c r="I437" s="107"/>
      <x:c r="J437" t="str">
        <x:f>IF(COUNTA(A437:I437)=0,"",IF(OR(A437="",B437="",C437="",F437="",G437=""),"Complete entry",IF(F437&lt;=0,"Check amount",IF(G437="Cancelled","Cancelled",IF(G437="Paid",IF(H437="","Enter paid date","Paid"),IF(E437="","Enter due date",IF(E437&lt;'Data &amp; Targets'!$C$10,"Overdue",IF(E437&lt;'Data &amp; Targets'!$C$10+30,"Due next 30 days","Unpaid"))))))))</x:f>
      </x:c>
    </x:row>
    <x:row r="438" ht="22" customHeight="1">
      <x:c r="A438" s="107"/>
      <x:c r="B438" s="107"/>
      <x:c r="C438" s="107"/>
      <x:c r="D438" s="107"/>
      <x:c r="E438" s="111"/>
      <x:c r="F438" s="109"/>
      <x:c r="G438" s="107"/>
      <x:c r="H438" s="111"/>
      <x:c r="I438" s="107"/>
      <x:c r="J438" t="str">
        <x:f>IF(COUNTA(A438:I438)=0,"",IF(OR(A438="",B438="",C438="",F438="",G438=""),"Complete entry",IF(F438&lt;=0,"Check amount",IF(G438="Cancelled","Cancelled",IF(G438="Paid",IF(H438="","Enter paid date","Paid"),IF(E438="","Enter due date",IF(E438&lt;'Data &amp; Targets'!$C$10,"Overdue",IF(E438&lt;'Data &amp; Targets'!$C$10+30,"Due next 30 days","Unpaid"))))))))</x:f>
      </x:c>
    </x:row>
    <x:row r="439" ht="22" customHeight="1">
      <x:c r="A439" s="107"/>
      <x:c r="B439" s="107"/>
      <x:c r="C439" s="107"/>
      <x:c r="D439" s="107"/>
      <x:c r="E439" s="111"/>
      <x:c r="F439" s="109"/>
      <x:c r="G439" s="107"/>
      <x:c r="H439" s="111"/>
      <x:c r="I439" s="107"/>
      <x:c r="J439" t="str">
        <x:f>IF(COUNTA(A439:I439)=0,"",IF(OR(A439="",B439="",C439="",F439="",G439=""),"Complete entry",IF(F439&lt;=0,"Check amount",IF(G439="Cancelled","Cancelled",IF(G439="Paid",IF(H439="","Enter paid date","Paid"),IF(E439="","Enter due date",IF(E439&lt;'Data &amp; Targets'!$C$10,"Overdue",IF(E439&lt;'Data &amp; Targets'!$C$10+30,"Due next 30 days","Unpaid"))))))))</x:f>
      </x:c>
    </x:row>
    <x:row r="440" ht="22" customHeight="1">
      <x:c r="A440" s="107"/>
      <x:c r="B440" s="107"/>
      <x:c r="C440" s="107"/>
      <x:c r="D440" s="107"/>
      <x:c r="E440" s="111"/>
      <x:c r="F440" s="109"/>
      <x:c r="G440" s="107"/>
      <x:c r="H440" s="111"/>
      <x:c r="I440" s="107"/>
      <x:c r="J440" t="str">
        <x:f>IF(COUNTA(A440:I440)=0,"",IF(OR(A440="",B440="",C440="",F440="",G440=""),"Complete entry",IF(F440&lt;=0,"Check amount",IF(G440="Cancelled","Cancelled",IF(G440="Paid",IF(H440="","Enter paid date","Paid"),IF(E440="","Enter due date",IF(E440&lt;'Data &amp; Targets'!$C$10,"Overdue",IF(E440&lt;'Data &amp; Targets'!$C$10+30,"Due next 30 days","Unpaid"))))))))</x:f>
      </x:c>
    </x:row>
    <x:row r="441" ht="22" customHeight="1">
      <x:c r="A441" s="107"/>
      <x:c r="B441" s="107"/>
      <x:c r="C441" s="107"/>
      <x:c r="D441" s="107"/>
      <x:c r="E441" s="111"/>
      <x:c r="F441" s="109"/>
      <x:c r="G441" s="107"/>
      <x:c r="H441" s="111"/>
      <x:c r="I441" s="107"/>
      <x:c r="J441" t="str">
        <x:f>IF(COUNTA(A441:I441)=0,"",IF(OR(A441="",B441="",C441="",F441="",G441=""),"Complete entry",IF(F441&lt;=0,"Check amount",IF(G441="Cancelled","Cancelled",IF(G441="Paid",IF(H441="","Enter paid date","Paid"),IF(E441="","Enter due date",IF(E441&lt;'Data &amp; Targets'!$C$10,"Overdue",IF(E441&lt;'Data &amp; Targets'!$C$10+30,"Due next 30 days","Unpaid"))))))))</x:f>
      </x:c>
    </x:row>
    <x:row r="442" ht="22" customHeight="1">
      <x:c r="A442" s="107"/>
      <x:c r="B442" s="107"/>
      <x:c r="C442" s="107"/>
      <x:c r="D442" s="107"/>
      <x:c r="E442" s="111"/>
      <x:c r="F442" s="109"/>
      <x:c r="G442" s="107"/>
      <x:c r="H442" s="111"/>
      <x:c r="I442" s="107"/>
      <x:c r="J442" t="str">
        <x:f>IF(COUNTA(A442:I442)=0,"",IF(OR(A442="",B442="",C442="",F442="",G442=""),"Complete entry",IF(F442&lt;=0,"Check amount",IF(G442="Cancelled","Cancelled",IF(G442="Paid",IF(H442="","Enter paid date","Paid"),IF(E442="","Enter due date",IF(E442&lt;'Data &amp; Targets'!$C$10,"Overdue",IF(E442&lt;'Data &amp; Targets'!$C$10+30,"Due next 30 days","Unpaid"))))))))</x:f>
      </x:c>
    </x:row>
    <x:row r="443" ht="22" customHeight="1">
      <x:c r="A443" s="107"/>
      <x:c r="B443" s="107"/>
      <x:c r="C443" s="107"/>
      <x:c r="D443" s="107"/>
      <x:c r="E443" s="111"/>
      <x:c r="F443" s="109"/>
      <x:c r="G443" s="107"/>
      <x:c r="H443" s="111"/>
      <x:c r="I443" s="107"/>
      <x:c r="J443" t="str">
        <x:f>IF(COUNTA(A443:I443)=0,"",IF(OR(A443="",B443="",C443="",F443="",G443=""),"Complete entry",IF(F443&lt;=0,"Check amount",IF(G443="Cancelled","Cancelled",IF(G443="Paid",IF(H443="","Enter paid date","Paid"),IF(E443="","Enter due date",IF(E443&lt;'Data &amp; Targets'!$C$10,"Overdue",IF(E443&lt;'Data &amp; Targets'!$C$10+30,"Due next 30 days","Unpaid"))))))))</x:f>
      </x:c>
    </x:row>
    <x:row r="444" ht="22" customHeight="1">
      <x:c r="A444" s="107"/>
      <x:c r="B444" s="107"/>
      <x:c r="C444" s="107"/>
      <x:c r="D444" s="107"/>
      <x:c r="E444" s="111"/>
      <x:c r="F444" s="109"/>
      <x:c r="G444" s="107"/>
      <x:c r="H444" s="111"/>
      <x:c r="I444" s="107"/>
      <x:c r="J444" t="str">
        <x:f>IF(COUNTA(A444:I444)=0,"",IF(OR(A444="",B444="",C444="",F444="",G444=""),"Complete entry",IF(F444&lt;=0,"Check amount",IF(G444="Cancelled","Cancelled",IF(G444="Paid",IF(H444="","Enter paid date","Paid"),IF(E444="","Enter due date",IF(E444&lt;'Data &amp; Targets'!$C$10,"Overdue",IF(E444&lt;'Data &amp; Targets'!$C$10+30,"Due next 30 days","Unpaid"))))))))</x:f>
      </x:c>
    </x:row>
    <x:row r="445" ht="22" customHeight="1">
      <x:c r="A445" s="107"/>
      <x:c r="B445" s="107"/>
      <x:c r="C445" s="107"/>
      <x:c r="D445" s="107"/>
      <x:c r="E445" s="111"/>
      <x:c r="F445" s="109"/>
      <x:c r="G445" s="107"/>
      <x:c r="H445" s="111"/>
      <x:c r="I445" s="107"/>
      <x:c r="J445" t="str">
        <x:f>IF(COUNTA(A445:I445)=0,"",IF(OR(A445="",B445="",C445="",F445="",G445=""),"Complete entry",IF(F445&lt;=0,"Check amount",IF(G445="Cancelled","Cancelled",IF(G445="Paid",IF(H445="","Enter paid date","Paid"),IF(E445="","Enter due date",IF(E445&lt;'Data &amp; Targets'!$C$10,"Overdue",IF(E445&lt;'Data &amp; Targets'!$C$10+30,"Due next 30 days","Unpaid"))))))))</x:f>
      </x:c>
    </x:row>
    <x:row r="446" ht="22" customHeight="1">
      <x:c r="A446" s="107"/>
      <x:c r="B446" s="107"/>
      <x:c r="C446" s="107"/>
      <x:c r="D446" s="107"/>
      <x:c r="E446" s="111"/>
      <x:c r="F446" s="109"/>
      <x:c r="G446" s="107"/>
      <x:c r="H446" s="111"/>
      <x:c r="I446" s="107"/>
      <x:c r="J446" t="str">
        <x:f>IF(COUNTA(A446:I446)=0,"",IF(OR(A446="",B446="",C446="",F446="",G446=""),"Complete entry",IF(F446&lt;=0,"Check amount",IF(G446="Cancelled","Cancelled",IF(G446="Paid",IF(H446="","Enter paid date","Paid"),IF(E446="","Enter due date",IF(E446&lt;'Data &amp; Targets'!$C$10,"Overdue",IF(E446&lt;'Data &amp; Targets'!$C$10+30,"Due next 30 days","Unpaid"))))))))</x:f>
      </x:c>
    </x:row>
    <x:row r="447" ht="22" customHeight="1">
      <x:c r="A447" s="107"/>
      <x:c r="B447" s="107"/>
      <x:c r="C447" s="107"/>
      <x:c r="D447" s="107"/>
      <x:c r="E447" s="111"/>
      <x:c r="F447" s="109"/>
      <x:c r="G447" s="107"/>
      <x:c r="H447" s="111"/>
      <x:c r="I447" s="107"/>
      <x:c r="J447" t="str">
        <x:f>IF(COUNTA(A447:I447)=0,"",IF(OR(A447="",B447="",C447="",F447="",G447=""),"Complete entry",IF(F447&lt;=0,"Check amount",IF(G447="Cancelled","Cancelled",IF(G447="Paid",IF(H447="","Enter paid date","Paid"),IF(E447="","Enter due date",IF(E447&lt;'Data &amp; Targets'!$C$10,"Overdue",IF(E447&lt;'Data &amp; Targets'!$C$10+30,"Due next 30 days","Unpaid"))))))))</x:f>
      </x:c>
    </x:row>
    <x:row r="448" ht="22" customHeight="1">
      <x:c r="A448" s="107"/>
      <x:c r="B448" s="107"/>
      <x:c r="C448" s="107"/>
      <x:c r="D448" s="107"/>
      <x:c r="E448" s="111"/>
      <x:c r="F448" s="109"/>
      <x:c r="G448" s="107"/>
      <x:c r="H448" s="111"/>
      <x:c r="I448" s="107"/>
      <x:c r="J448" t="str">
        <x:f>IF(COUNTA(A448:I448)=0,"",IF(OR(A448="",B448="",C448="",F448="",G448=""),"Complete entry",IF(F448&lt;=0,"Check amount",IF(G448="Cancelled","Cancelled",IF(G448="Paid",IF(H448="","Enter paid date","Paid"),IF(E448="","Enter due date",IF(E448&lt;'Data &amp; Targets'!$C$10,"Overdue",IF(E448&lt;'Data &amp; Targets'!$C$10+30,"Due next 30 days","Unpaid"))))))))</x:f>
      </x:c>
    </x:row>
    <x:row r="449" ht="22" customHeight="1">
      <x:c r="A449" s="107"/>
      <x:c r="B449" s="107"/>
      <x:c r="C449" s="107"/>
      <x:c r="D449" s="107"/>
      <x:c r="E449" s="111"/>
      <x:c r="F449" s="109"/>
      <x:c r="G449" s="107"/>
      <x:c r="H449" s="111"/>
      <x:c r="I449" s="107"/>
      <x:c r="J449" t="str">
        <x:f>IF(COUNTA(A449:I449)=0,"",IF(OR(A449="",B449="",C449="",F449="",G449=""),"Complete entry",IF(F449&lt;=0,"Check amount",IF(G449="Cancelled","Cancelled",IF(G449="Paid",IF(H449="","Enter paid date","Paid"),IF(E449="","Enter due date",IF(E449&lt;'Data &amp; Targets'!$C$10,"Overdue",IF(E449&lt;'Data &amp; Targets'!$C$10+30,"Due next 30 days","Unpaid"))))))))</x:f>
      </x:c>
    </x:row>
    <x:row r="450" ht="22" customHeight="1">
      <x:c r="A450" s="107"/>
      <x:c r="B450" s="107"/>
      <x:c r="C450" s="107"/>
      <x:c r="D450" s="107"/>
      <x:c r="E450" s="111"/>
      <x:c r="F450" s="109"/>
      <x:c r="G450" s="107"/>
      <x:c r="H450" s="111"/>
      <x:c r="I450" s="107"/>
      <x:c r="J450" t="str">
        <x:f>IF(COUNTA(A450:I450)=0,"",IF(OR(A450="",B450="",C450="",F450="",G450=""),"Complete entry",IF(F450&lt;=0,"Check amount",IF(G450="Cancelled","Cancelled",IF(G450="Paid",IF(H450="","Enter paid date","Paid"),IF(E450="","Enter due date",IF(E450&lt;'Data &amp; Targets'!$C$10,"Overdue",IF(E450&lt;'Data &amp; Targets'!$C$10+30,"Due next 30 days","Unpaid"))))))))</x:f>
      </x:c>
    </x:row>
    <x:row r="451" ht="22" customHeight="1">
      <x:c r="A451" s="107"/>
      <x:c r="B451" s="107"/>
      <x:c r="C451" s="107"/>
      <x:c r="D451" s="107"/>
      <x:c r="E451" s="111"/>
      <x:c r="F451" s="109"/>
      <x:c r="G451" s="107"/>
      <x:c r="H451" s="111"/>
      <x:c r="I451" s="107"/>
      <x:c r="J451" t="str">
        <x:f>IF(COUNTA(A451:I451)=0,"",IF(OR(A451="",B451="",C451="",F451="",G451=""),"Complete entry",IF(F451&lt;=0,"Check amount",IF(G451="Cancelled","Cancelled",IF(G451="Paid",IF(H451="","Enter paid date","Paid"),IF(E451="","Enter due date",IF(E451&lt;'Data &amp; Targets'!$C$10,"Overdue",IF(E451&lt;'Data &amp; Targets'!$C$10+30,"Due next 30 days","Unpaid"))))))))</x:f>
      </x:c>
    </x:row>
    <x:row r="452" ht="22" customHeight="1">
      <x:c r="A452" s="107"/>
      <x:c r="B452" s="107"/>
      <x:c r="C452" s="107"/>
      <x:c r="D452" s="107"/>
      <x:c r="E452" s="111"/>
      <x:c r="F452" s="109"/>
      <x:c r="G452" s="107"/>
      <x:c r="H452" s="111"/>
      <x:c r="I452" s="107"/>
      <x:c r="J452" t="str">
        <x:f>IF(COUNTA(A452:I452)=0,"",IF(OR(A452="",B452="",C452="",F452="",G452=""),"Complete entry",IF(F452&lt;=0,"Check amount",IF(G452="Cancelled","Cancelled",IF(G452="Paid",IF(H452="","Enter paid date","Paid"),IF(E452="","Enter due date",IF(E452&lt;'Data &amp; Targets'!$C$10,"Overdue",IF(E452&lt;'Data &amp; Targets'!$C$10+30,"Due next 30 days","Unpaid"))))))))</x:f>
      </x:c>
    </x:row>
    <x:row r="453" ht="22" customHeight="1">
      <x:c r="A453" s="107"/>
      <x:c r="B453" s="107"/>
      <x:c r="C453" s="107"/>
      <x:c r="D453" s="107"/>
      <x:c r="E453" s="111"/>
      <x:c r="F453" s="109"/>
      <x:c r="G453" s="107"/>
      <x:c r="H453" s="111"/>
      <x:c r="I453" s="107"/>
      <x:c r="J453" t="str">
        <x:f>IF(COUNTA(A453:I453)=0,"",IF(OR(A453="",B453="",C453="",F453="",G453=""),"Complete entry",IF(F453&lt;=0,"Check amount",IF(G453="Cancelled","Cancelled",IF(G453="Paid",IF(H453="","Enter paid date","Paid"),IF(E453="","Enter due date",IF(E453&lt;'Data &amp; Targets'!$C$10,"Overdue",IF(E453&lt;'Data &amp; Targets'!$C$10+30,"Due next 30 days","Unpaid"))))))))</x:f>
      </x:c>
    </x:row>
    <x:row r="454" ht="22" customHeight="1">
      <x:c r="A454" s="107"/>
      <x:c r="B454" s="107"/>
      <x:c r="C454" s="107"/>
      <x:c r="D454" s="107"/>
      <x:c r="E454" s="111"/>
      <x:c r="F454" s="109"/>
      <x:c r="G454" s="107"/>
      <x:c r="H454" s="111"/>
      <x:c r="I454" s="107"/>
      <x:c r="J454" t="str">
        <x:f>IF(COUNTA(A454:I454)=0,"",IF(OR(A454="",B454="",C454="",F454="",G454=""),"Complete entry",IF(F454&lt;=0,"Check amount",IF(G454="Cancelled","Cancelled",IF(G454="Paid",IF(H454="","Enter paid date","Paid"),IF(E454="","Enter due date",IF(E454&lt;'Data &amp; Targets'!$C$10,"Overdue",IF(E454&lt;'Data &amp; Targets'!$C$10+30,"Due next 30 days","Unpaid"))))))))</x:f>
      </x:c>
    </x:row>
    <x:row r="455" ht="22" customHeight="1">
      <x:c r="A455" s="107"/>
      <x:c r="B455" s="107"/>
      <x:c r="C455" s="107"/>
      <x:c r="D455" s="107"/>
      <x:c r="E455" s="111"/>
      <x:c r="F455" s="109"/>
      <x:c r="G455" s="107"/>
      <x:c r="H455" s="111"/>
      <x:c r="I455" s="107"/>
      <x:c r="J455" t="str">
        <x:f>IF(COUNTA(A455:I455)=0,"",IF(OR(A455="",B455="",C455="",F455="",G455=""),"Complete entry",IF(F455&lt;=0,"Check amount",IF(G455="Cancelled","Cancelled",IF(G455="Paid",IF(H455="","Enter paid date","Paid"),IF(E455="","Enter due date",IF(E455&lt;'Data &amp; Targets'!$C$10,"Overdue",IF(E455&lt;'Data &amp; Targets'!$C$10+30,"Due next 30 days","Unpaid"))))))))</x:f>
      </x:c>
    </x:row>
    <x:row r="456" ht="22" customHeight="1">
      <x:c r="A456" s="107"/>
      <x:c r="B456" s="107"/>
      <x:c r="C456" s="107"/>
      <x:c r="D456" s="107"/>
      <x:c r="E456" s="111"/>
      <x:c r="F456" s="109"/>
      <x:c r="G456" s="107"/>
      <x:c r="H456" s="111"/>
      <x:c r="I456" s="107"/>
      <x:c r="J456" t="str">
        <x:f>IF(COUNTA(A456:I456)=0,"",IF(OR(A456="",B456="",C456="",F456="",G456=""),"Complete entry",IF(F456&lt;=0,"Check amount",IF(G456="Cancelled","Cancelled",IF(G456="Paid",IF(H456="","Enter paid date","Paid"),IF(E456="","Enter due date",IF(E456&lt;'Data &amp; Targets'!$C$10,"Overdue",IF(E456&lt;'Data &amp; Targets'!$C$10+30,"Due next 30 days","Unpaid"))))))))</x:f>
      </x:c>
    </x:row>
    <x:row r="457" ht="22" customHeight="1">
      <x:c r="A457" s="107"/>
      <x:c r="B457" s="107"/>
      <x:c r="C457" s="107"/>
      <x:c r="D457" s="107"/>
      <x:c r="E457" s="111"/>
      <x:c r="F457" s="109"/>
      <x:c r="G457" s="107"/>
      <x:c r="H457" s="111"/>
      <x:c r="I457" s="107"/>
      <x:c r="J457" t="str">
        <x:f>IF(COUNTA(A457:I457)=0,"",IF(OR(A457="",B457="",C457="",F457="",G457=""),"Complete entry",IF(F457&lt;=0,"Check amount",IF(G457="Cancelled","Cancelled",IF(G457="Paid",IF(H457="","Enter paid date","Paid"),IF(E457="","Enter due date",IF(E457&lt;'Data &amp; Targets'!$C$10,"Overdue",IF(E457&lt;'Data &amp; Targets'!$C$10+30,"Due next 30 days","Unpaid"))))))))</x:f>
      </x:c>
    </x:row>
    <x:row r="458" ht="22" customHeight="1">
      <x:c r="A458" s="107"/>
      <x:c r="B458" s="107"/>
      <x:c r="C458" s="107"/>
      <x:c r="D458" s="107"/>
      <x:c r="E458" s="111"/>
      <x:c r="F458" s="109"/>
      <x:c r="G458" s="107"/>
      <x:c r="H458" s="111"/>
      <x:c r="I458" s="107"/>
      <x:c r="J458" t="str">
        <x:f>IF(COUNTA(A458:I458)=0,"",IF(OR(A458="",B458="",C458="",F458="",G458=""),"Complete entry",IF(F458&lt;=0,"Check amount",IF(G458="Cancelled","Cancelled",IF(G458="Paid",IF(H458="","Enter paid date","Paid"),IF(E458="","Enter due date",IF(E458&lt;'Data &amp; Targets'!$C$10,"Overdue",IF(E458&lt;'Data &amp; Targets'!$C$10+30,"Due next 30 days","Unpaid"))))))))</x:f>
      </x:c>
    </x:row>
    <x:row r="459" ht="22" customHeight="1">
      <x:c r="A459" s="107"/>
      <x:c r="B459" s="107"/>
      <x:c r="C459" s="107"/>
      <x:c r="D459" s="107"/>
      <x:c r="E459" s="111"/>
      <x:c r="F459" s="109"/>
      <x:c r="G459" s="107"/>
      <x:c r="H459" s="111"/>
      <x:c r="I459" s="107"/>
      <x:c r="J459" t="str">
        <x:f>IF(COUNTA(A459:I459)=0,"",IF(OR(A459="",B459="",C459="",F459="",G459=""),"Complete entry",IF(F459&lt;=0,"Check amount",IF(G459="Cancelled","Cancelled",IF(G459="Paid",IF(H459="","Enter paid date","Paid"),IF(E459="","Enter due date",IF(E459&lt;'Data &amp; Targets'!$C$10,"Overdue",IF(E459&lt;'Data &amp; Targets'!$C$10+30,"Due next 30 days","Unpaid"))))))))</x:f>
      </x:c>
    </x:row>
    <x:row r="460" ht="22" customHeight="1">
      <x:c r="A460" s="107"/>
      <x:c r="B460" s="107"/>
      <x:c r="C460" s="107"/>
      <x:c r="D460" s="107"/>
      <x:c r="E460" s="111"/>
      <x:c r="F460" s="109"/>
      <x:c r="G460" s="107"/>
      <x:c r="H460" s="111"/>
      <x:c r="I460" s="107"/>
      <x:c r="J460" t="str">
        <x:f>IF(COUNTA(A460:I460)=0,"",IF(OR(A460="",B460="",C460="",F460="",G460=""),"Complete entry",IF(F460&lt;=0,"Check amount",IF(G460="Cancelled","Cancelled",IF(G460="Paid",IF(H460="","Enter paid date","Paid"),IF(E460="","Enter due date",IF(E460&lt;'Data &amp; Targets'!$C$10,"Overdue",IF(E460&lt;'Data &amp; Targets'!$C$10+30,"Due next 30 days","Unpaid"))))))))</x:f>
      </x:c>
    </x:row>
    <x:row r="461" ht="22" customHeight="1">
      <x:c r="A461" s="107"/>
      <x:c r="B461" s="107"/>
      <x:c r="C461" s="107"/>
      <x:c r="D461" s="107"/>
      <x:c r="E461" s="111"/>
      <x:c r="F461" s="109"/>
      <x:c r="G461" s="107"/>
      <x:c r="H461" s="111"/>
      <x:c r="I461" s="107"/>
      <x:c r="J461" t="str">
        <x:f>IF(COUNTA(A461:I461)=0,"",IF(OR(A461="",B461="",C461="",F461="",G461=""),"Complete entry",IF(F461&lt;=0,"Check amount",IF(G461="Cancelled","Cancelled",IF(G461="Paid",IF(H461="","Enter paid date","Paid"),IF(E461="","Enter due date",IF(E461&lt;'Data &amp; Targets'!$C$10,"Overdue",IF(E461&lt;'Data &amp; Targets'!$C$10+30,"Due next 30 days","Unpaid"))))))))</x:f>
      </x:c>
    </x:row>
    <x:row r="462" ht="22" customHeight="1">
      <x:c r="A462" s="107"/>
      <x:c r="B462" s="107"/>
      <x:c r="C462" s="107"/>
      <x:c r="D462" s="107"/>
      <x:c r="E462" s="111"/>
      <x:c r="F462" s="109"/>
      <x:c r="G462" s="107"/>
      <x:c r="H462" s="111"/>
      <x:c r="I462" s="107"/>
      <x:c r="J462" t="str">
        <x:f>IF(COUNTA(A462:I462)=0,"",IF(OR(A462="",B462="",C462="",F462="",G462=""),"Complete entry",IF(F462&lt;=0,"Check amount",IF(G462="Cancelled","Cancelled",IF(G462="Paid",IF(H462="","Enter paid date","Paid"),IF(E462="","Enter due date",IF(E462&lt;'Data &amp; Targets'!$C$10,"Overdue",IF(E462&lt;'Data &amp; Targets'!$C$10+30,"Due next 30 days","Unpaid"))))))))</x:f>
      </x:c>
    </x:row>
    <x:row r="463" ht="22" customHeight="1">
      <x:c r="A463" s="107"/>
      <x:c r="B463" s="107"/>
      <x:c r="C463" s="107"/>
      <x:c r="D463" s="107"/>
      <x:c r="E463" s="111"/>
      <x:c r="F463" s="109"/>
      <x:c r="G463" s="107"/>
      <x:c r="H463" s="111"/>
      <x:c r="I463" s="107"/>
      <x:c r="J463" t="str">
        <x:f>IF(COUNTA(A463:I463)=0,"",IF(OR(A463="",B463="",C463="",F463="",G463=""),"Complete entry",IF(F463&lt;=0,"Check amount",IF(G463="Cancelled","Cancelled",IF(G463="Paid",IF(H463="","Enter paid date","Paid"),IF(E463="","Enter due date",IF(E463&lt;'Data &amp; Targets'!$C$10,"Overdue",IF(E463&lt;'Data &amp; Targets'!$C$10+30,"Due next 30 days","Unpaid"))))))))</x:f>
      </x:c>
    </x:row>
    <x:row r="464" ht="22" customHeight="1">
      <x:c r="A464" s="107"/>
      <x:c r="B464" s="107"/>
      <x:c r="C464" s="107"/>
      <x:c r="D464" s="107"/>
      <x:c r="E464" s="111"/>
      <x:c r="F464" s="109"/>
      <x:c r="G464" s="107"/>
      <x:c r="H464" s="111"/>
      <x:c r="I464" s="107"/>
      <x:c r="J464" t="str">
        <x:f>IF(COUNTA(A464:I464)=0,"",IF(OR(A464="",B464="",C464="",F464="",G464=""),"Complete entry",IF(F464&lt;=0,"Check amount",IF(G464="Cancelled","Cancelled",IF(G464="Paid",IF(H464="","Enter paid date","Paid"),IF(E464="","Enter due date",IF(E464&lt;'Data &amp; Targets'!$C$10,"Overdue",IF(E464&lt;'Data &amp; Targets'!$C$10+30,"Due next 30 days","Unpaid"))))))))</x:f>
      </x:c>
    </x:row>
    <x:row r="465" ht="22" customHeight="1">
      <x:c r="A465" s="107"/>
      <x:c r="B465" s="107"/>
      <x:c r="C465" s="107"/>
      <x:c r="D465" s="107"/>
      <x:c r="E465" s="111"/>
      <x:c r="F465" s="109"/>
      <x:c r="G465" s="107"/>
      <x:c r="H465" s="111"/>
      <x:c r="I465" s="107"/>
      <x:c r="J465" t="str">
        <x:f>IF(COUNTA(A465:I465)=0,"",IF(OR(A465="",B465="",C465="",F465="",G465=""),"Complete entry",IF(F465&lt;=0,"Check amount",IF(G465="Cancelled","Cancelled",IF(G465="Paid",IF(H465="","Enter paid date","Paid"),IF(E465="","Enter due date",IF(E465&lt;'Data &amp; Targets'!$C$10,"Overdue",IF(E465&lt;'Data &amp; Targets'!$C$10+30,"Due next 30 days","Unpaid"))))))))</x:f>
      </x:c>
    </x:row>
    <x:row r="466" ht="22" customHeight="1">
      <x:c r="A466" s="107"/>
      <x:c r="B466" s="107"/>
      <x:c r="C466" s="107"/>
      <x:c r="D466" s="107"/>
      <x:c r="E466" s="111"/>
      <x:c r="F466" s="109"/>
      <x:c r="G466" s="107"/>
      <x:c r="H466" s="111"/>
      <x:c r="I466" s="107"/>
      <x:c r="J466" t="str">
        <x:f>IF(COUNTA(A466:I466)=0,"",IF(OR(A466="",B466="",C466="",F466="",G466=""),"Complete entry",IF(F466&lt;=0,"Check amount",IF(G466="Cancelled","Cancelled",IF(G466="Paid",IF(H466="","Enter paid date","Paid"),IF(E466="","Enter due date",IF(E466&lt;'Data &amp; Targets'!$C$10,"Overdue",IF(E466&lt;'Data &amp; Targets'!$C$10+30,"Due next 30 days","Unpaid"))))))))</x:f>
      </x:c>
    </x:row>
    <x:row r="467" ht="22" customHeight="1">
      <x:c r="A467" s="107"/>
      <x:c r="B467" s="107"/>
      <x:c r="C467" s="107"/>
      <x:c r="D467" s="107"/>
      <x:c r="E467" s="111"/>
      <x:c r="F467" s="109"/>
      <x:c r="G467" s="107"/>
      <x:c r="H467" s="111"/>
      <x:c r="I467" s="107"/>
      <x:c r="J467" t="str">
        <x:f>IF(COUNTA(A467:I467)=0,"",IF(OR(A467="",B467="",C467="",F467="",G467=""),"Complete entry",IF(F467&lt;=0,"Check amount",IF(G467="Cancelled","Cancelled",IF(G467="Paid",IF(H467="","Enter paid date","Paid"),IF(E467="","Enter due date",IF(E467&lt;'Data &amp; Targets'!$C$10,"Overdue",IF(E467&lt;'Data &amp; Targets'!$C$10+30,"Due next 30 days","Unpaid"))))))))</x:f>
      </x:c>
    </x:row>
    <x:row r="468" ht="22" customHeight="1">
      <x:c r="A468" s="107"/>
      <x:c r="B468" s="107"/>
      <x:c r="C468" s="107"/>
      <x:c r="D468" s="107"/>
      <x:c r="E468" s="111"/>
      <x:c r="F468" s="109"/>
      <x:c r="G468" s="107"/>
      <x:c r="H468" s="111"/>
      <x:c r="I468" s="107"/>
      <x:c r="J468" t="str">
        <x:f>IF(COUNTA(A468:I468)=0,"",IF(OR(A468="",B468="",C468="",F468="",G468=""),"Complete entry",IF(F468&lt;=0,"Check amount",IF(G468="Cancelled","Cancelled",IF(G468="Paid",IF(H468="","Enter paid date","Paid"),IF(E468="","Enter due date",IF(E468&lt;'Data &amp; Targets'!$C$10,"Overdue",IF(E468&lt;'Data &amp; Targets'!$C$10+30,"Due next 30 days","Unpaid"))))))))</x:f>
      </x:c>
    </x:row>
    <x:row r="469" ht="22" customHeight="1">
      <x:c r="A469" s="107"/>
      <x:c r="B469" s="107"/>
      <x:c r="C469" s="107"/>
      <x:c r="D469" s="107"/>
      <x:c r="E469" s="111"/>
      <x:c r="F469" s="109"/>
      <x:c r="G469" s="107"/>
      <x:c r="H469" s="111"/>
      <x:c r="I469" s="107"/>
      <x:c r="J469" t="str">
        <x:f>IF(COUNTA(A469:I469)=0,"",IF(OR(A469="",B469="",C469="",F469="",G469=""),"Complete entry",IF(F469&lt;=0,"Check amount",IF(G469="Cancelled","Cancelled",IF(G469="Paid",IF(H469="","Enter paid date","Paid"),IF(E469="","Enter due date",IF(E469&lt;'Data &amp; Targets'!$C$10,"Overdue",IF(E469&lt;'Data &amp; Targets'!$C$10+30,"Due next 30 days","Unpaid"))))))))</x:f>
      </x:c>
    </x:row>
    <x:row r="470" ht="22" customHeight="1">
      <x:c r="A470" s="107"/>
      <x:c r="B470" s="107"/>
      <x:c r="C470" s="107"/>
      <x:c r="D470" s="107"/>
      <x:c r="E470" s="111"/>
      <x:c r="F470" s="109"/>
      <x:c r="G470" s="107"/>
      <x:c r="H470" s="111"/>
      <x:c r="I470" s="107"/>
      <x:c r="J470" t="str">
        <x:f>IF(COUNTA(A470:I470)=0,"",IF(OR(A470="",B470="",C470="",F470="",G470=""),"Complete entry",IF(F470&lt;=0,"Check amount",IF(G470="Cancelled","Cancelled",IF(G470="Paid",IF(H470="","Enter paid date","Paid"),IF(E470="","Enter due date",IF(E470&lt;'Data &amp; Targets'!$C$10,"Overdue",IF(E470&lt;'Data &amp; Targets'!$C$10+30,"Due next 30 days","Unpaid"))))))))</x:f>
      </x:c>
    </x:row>
    <x:row r="471" ht="22" customHeight="1">
      <x:c r="A471" s="107"/>
      <x:c r="B471" s="107"/>
      <x:c r="C471" s="107"/>
      <x:c r="D471" s="107"/>
      <x:c r="E471" s="111"/>
      <x:c r="F471" s="109"/>
      <x:c r="G471" s="107"/>
      <x:c r="H471" s="111"/>
      <x:c r="I471" s="107"/>
      <x:c r="J471" t="str">
        <x:f>IF(COUNTA(A471:I471)=0,"",IF(OR(A471="",B471="",C471="",F471="",G471=""),"Complete entry",IF(F471&lt;=0,"Check amount",IF(G471="Cancelled","Cancelled",IF(G471="Paid",IF(H471="","Enter paid date","Paid"),IF(E471="","Enter due date",IF(E471&lt;'Data &amp; Targets'!$C$10,"Overdue",IF(E471&lt;'Data &amp; Targets'!$C$10+30,"Due next 30 days","Unpaid"))))))))</x:f>
      </x:c>
    </x:row>
    <x:row r="472" ht="22" customHeight="1">
      <x:c r="A472" s="107"/>
      <x:c r="B472" s="107"/>
      <x:c r="C472" s="107"/>
      <x:c r="D472" s="107"/>
      <x:c r="E472" s="111"/>
      <x:c r="F472" s="109"/>
      <x:c r="G472" s="107"/>
      <x:c r="H472" s="111"/>
      <x:c r="I472" s="107"/>
      <x:c r="J472" t="str">
        <x:f>IF(COUNTA(A472:I472)=0,"",IF(OR(A472="",B472="",C472="",F472="",G472=""),"Complete entry",IF(F472&lt;=0,"Check amount",IF(G472="Cancelled","Cancelled",IF(G472="Paid",IF(H472="","Enter paid date","Paid"),IF(E472="","Enter due date",IF(E472&lt;'Data &amp; Targets'!$C$10,"Overdue",IF(E472&lt;'Data &amp; Targets'!$C$10+30,"Due next 30 days","Unpaid"))))))))</x:f>
      </x:c>
    </x:row>
    <x:row r="473" ht="22" customHeight="1">
      <x:c r="A473" s="107"/>
      <x:c r="B473" s="107"/>
      <x:c r="C473" s="107"/>
      <x:c r="D473" s="107"/>
      <x:c r="E473" s="111"/>
      <x:c r="F473" s="109"/>
      <x:c r="G473" s="107"/>
      <x:c r="H473" s="111"/>
      <x:c r="I473" s="107"/>
      <x:c r="J473" t="str">
        <x:f>IF(COUNTA(A473:I473)=0,"",IF(OR(A473="",B473="",C473="",F473="",G473=""),"Complete entry",IF(F473&lt;=0,"Check amount",IF(G473="Cancelled","Cancelled",IF(G473="Paid",IF(H473="","Enter paid date","Paid"),IF(E473="","Enter due date",IF(E473&lt;'Data &amp; Targets'!$C$10,"Overdue",IF(E473&lt;'Data &amp; Targets'!$C$10+30,"Due next 30 days","Unpaid"))))))))</x:f>
      </x:c>
    </x:row>
    <x:row r="474" ht="22" customHeight="1">
      <x:c r="A474" s="107"/>
      <x:c r="B474" s="107"/>
      <x:c r="C474" s="107"/>
      <x:c r="D474" s="107"/>
      <x:c r="E474" s="111"/>
      <x:c r="F474" s="109"/>
      <x:c r="G474" s="107"/>
      <x:c r="H474" s="111"/>
      <x:c r="I474" s="107"/>
      <x:c r="J474" t="str">
        <x:f>IF(COUNTA(A474:I474)=0,"",IF(OR(A474="",B474="",C474="",F474="",G474=""),"Complete entry",IF(F474&lt;=0,"Check amount",IF(G474="Cancelled","Cancelled",IF(G474="Paid",IF(H474="","Enter paid date","Paid"),IF(E474="","Enter due date",IF(E474&lt;'Data &amp; Targets'!$C$10,"Overdue",IF(E474&lt;'Data &amp; Targets'!$C$10+30,"Due next 30 days","Unpaid"))))))))</x:f>
      </x:c>
    </x:row>
    <x:row r="475" ht="22" customHeight="1">
      <x:c r="A475" s="107"/>
      <x:c r="B475" s="107"/>
      <x:c r="C475" s="107"/>
      <x:c r="D475" s="107"/>
      <x:c r="E475" s="111"/>
      <x:c r="F475" s="109"/>
      <x:c r="G475" s="107"/>
      <x:c r="H475" s="111"/>
      <x:c r="I475" s="107"/>
      <x:c r="J475" t="str">
        <x:f>IF(COUNTA(A475:I475)=0,"",IF(OR(A475="",B475="",C475="",F475="",G475=""),"Complete entry",IF(F475&lt;=0,"Check amount",IF(G475="Cancelled","Cancelled",IF(G475="Paid",IF(H475="","Enter paid date","Paid"),IF(E475="","Enter due date",IF(E475&lt;'Data &amp; Targets'!$C$10,"Overdue",IF(E475&lt;'Data &amp; Targets'!$C$10+30,"Due next 30 days","Unpaid"))))))))</x:f>
      </x:c>
    </x:row>
    <x:row r="476" ht="22" customHeight="1">
      <x:c r="A476" s="107"/>
      <x:c r="B476" s="107"/>
      <x:c r="C476" s="107"/>
      <x:c r="D476" s="107"/>
      <x:c r="E476" s="111"/>
      <x:c r="F476" s="109"/>
      <x:c r="G476" s="107"/>
      <x:c r="H476" s="111"/>
      <x:c r="I476" s="107"/>
      <x:c r="J476" t="str">
        <x:f>IF(COUNTA(A476:I476)=0,"",IF(OR(A476="",B476="",C476="",F476="",G476=""),"Complete entry",IF(F476&lt;=0,"Check amount",IF(G476="Cancelled","Cancelled",IF(G476="Paid",IF(H476="","Enter paid date","Paid"),IF(E476="","Enter due date",IF(E476&lt;'Data &amp; Targets'!$C$10,"Overdue",IF(E476&lt;'Data &amp; Targets'!$C$10+30,"Due next 30 days","Unpaid"))))))))</x:f>
      </x:c>
    </x:row>
    <x:row r="477" ht="22" customHeight="1">
      <x:c r="A477" s="107"/>
      <x:c r="B477" s="107"/>
      <x:c r="C477" s="107"/>
      <x:c r="D477" s="107"/>
      <x:c r="E477" s="111"/>
      <x:c r="F477" s="109"/>
      <x:c r="G477" s="107"/>
      <x:c r="H477" s="111"/>
      <x:c r="I477" s="107"/>
      <x:c r="J477" t="str">
        <x:f>IF(COUNTA(A477:I477)=0,"",IF(OR(A477="",B477="",C477="",F477="",G477=""),"Complete entry",IF(F477&lt;=0,"Check amount",IF(G477="Cancelled","Cancelled",IF(G477="Paid",IF(H477="","Enter paid date","Paid"),IF(E477="","Enter due date",IF(E477&lt;'Data &amp; Targets'!$C$10,"Overdue",IF(E477&lt;'Data &amp; Targets'!$C$10+30,"Due next 30 days","Unpaid"))))))))</x:f>
      </x:c>
    </x:row>
    <x:row r="478" ht="22" customHeight="1">
      <x:c r="A478" s="107"/>
      <x:c r="B478" s="107"/>
      <x:c r="C478" s="107"/>
      <x:c r="D478" s="107"/>
      <x:c r="E478" s="111"/>
      <x:c r="F478" s="109"/>
      <x:c r="G478" s="107"/>
      <x:c r="H478" s="111"/>
      <x:c r="I478" s="107"/>
      <x:c r="J478" t="str">
        <x:f>IF(COUNTA(A478:I478)=0,"",IF(OR(A478="",B478="",C478="",F478="",G478=""),"Complete entry",IF(F478&lt;=0,"Check amount",IF(G478="Cancelled","Cancelled",IF(G478="Paid",IF(H478="","Enter paid date","Paid"),IF(E478="","Enter due date",IF(E478&lt;'Data &amp; Targets'!$C$10,"Overdue",IF(E478&lt;'Data &amp; Targets'!$C$10+30,"Due next 30 days","Unpaid"))))))))</x:f>
      </x:c>
    </x:row>
    <x:row r="479" ht="22" customHeight="1">
      <x:c r="A479" s="107"/>
      <x:c r="B479" s="107"/>
      <x:c r="C479" s="107"/>
      <x:c r="D479" s="107"/>
      <x:c r="E479" s="111"/>
      <x:c r="F479" s="109"/>
      <x:c r="G479" s="107"/>
      <x:c r="H479" s="111"/>
      <x:c r="I479" s="107"/>
      <x:c r="J479" t="str">
        <x:f>IF(COUNTA(A479:I479)=0,"",IF(OR(A479="",B479="",C479="",F479="",G479=""),"Complete entry",IF(F479&lt;=0,"Check amount",IF(G479="Cancelled","Cancelled",IF(G479="Paid",IF(H479="","Enter paid date","Paid"),IF(E479="","Enter due date",IF(E479&lt;'Data &amp; Targets'!$C$10,"Overdue",IF(E479&lt;'Data &amp; Targets'!$C$10+30,"Due next 30 days","Unpaid"))))))))</x:f>
      </x:c>
    </x:row>
    <x:row r="480" ht="22" customHeight="1">
      <x:c r="A480" s="107"/>
      <x:c r="B480" s="107"/>
      <x:c r="C480" s="107"/>
      <x:c r="D480" s="107"/>
      <x:c r="E480" s="111"/>
      <x:c r="F480" s="109"/>
      <x:c r="G480" s="107"/>
      <x:c r="H480" s="111"/>
      <x:c r="I480" s="107"/>
      <x:c r="J480" t="str">
        <x:f>IF(COUNTA(A480:I480)=0,"",IF(OR(A480="",B480="",C480="",F480="",G480=""),"Complete entry",IF(F480&lt;=0,"Check amount",IF(G480="Cancelled","Cancelled",IF(G480="Paid",IF(H480="","Enter paid date","Paid"),IF(E480="","Enter due date",IF(E480&lt;'Data &amp; Targets'!$C$10,"Overdue",IF(E480&lt;'Data &amp; Targets'!$C$10+30,"Due next 30 days","Unpaid"))))))))</x:f>
      </x:c>
    </x:row>
    <x:row r="481" ht="22" customHeight="1">
      <x:c r="A481" s="107"/>
      <x:c r="B481" s="107"/>
      <x:c r="C481" s="107"/>
      <x:c r="D481" s="107"/>
      <x:c r="E481" s="111"/>
      <x:c r="F481" s="109"/>
      <x:c r="G481" s="107"/>
      <x:c r="H481" s="111"/>
      <x:c r="I481" s="107"/>
      <x:c r="J481" t="str">
        <x:f>IF(COUNTA(A481:I481)=0,"",IF(OR(A481="",B481="",C481="",F481="",G481=""),"Complete entry",IF(F481&lt;=0,"Check amount",IF(G481="Cancelled","Cancelled",IF(G481="Paid",IF(H481="","Enter paid date","Paid"),IF(E481="","Enter due date",IF(E481&lt;'Data &amp; Targets'!$C$10,"Overdue",IF(E481&lt;'Data &amp; Targets'!$C$10+30,"Due next 30 days","Unpaid"))))))))</x:f>
      </x:c>
    </x:row>
    <x:row r="482" ht="22" customHeight="1">
      <x:c r="A482" s="107"/>
      <x:c r="B482" s="107"/>
      <x:c r="C482" s="107"/>
      <x:c r="D482" s="107"/>
      <x:c r="E482" s="111"/>
      <x:c r="F482" s="109"/>
      <x:c r="G482" s="107"/>
      <x:c r="H482" s="111"/>
      <x:c r="I482" s="107"/>
      <x:c r="J482" t="str">
        <x:f>IF(COUNTA(A482:I482)=0,"",IF(OR(A482="",B482="",C482="",F482="",G482=""),"Complete entry",IF(F482&lt;=0,"Check amount",IF(G482="Cancelled","Cancelled",IF(G482="Paid",IF(H482="","Enter paid date","Paid"),IF(E482="","Enter due date",IF(E482&lt;'Data &amp; Targets'!$C$10,"Overdue",IF(E482&lt;'Data &amp; Targets'!$C$10+30,"Due next 30 days","Unpaid"))))))))</x:f>
      </x:c>
    </x:row>
    <x:row r="483" ht="22" customHeight="1">
      <x:c r="A483" s="107"/>
      <x:c r="B483" s="107"/>
      <x:c r="C483" s="107"/>
      <x:c r="D483" s="107"/>
      <x:c r="E483" s="111"/>
      <x:c r="F483" s="109"/>
      <x:c r="G483" s="107"/>
      <x:c r="H483" s="111"/>
      <x:c r="I483" s="107"/>
      <x:c r="J483" t="str">
        <x:f>IF(COUNTA(A483:I483)=0,"",IF(OR(A483="",B483="",C483="",F483="",G483=""),"Complete entry",IF(F483&lt;=0,"Check amount",IF(G483="Cancelled","Cancelled",IF(G483="Paid",IF(H483="","Enter paid date","Paid"),IF(E483="","Enter due date",IF(E483&lt;'Data &amp; Targets'!$C$10,"Overdue",IF(E483&lt;'Data &amp; Targets'!$C$10+30,"Due next 30 days","Unpaid"))))))))</x:f>
      </x:c>
    </x:row>
    <x:row r="484" ht="22" customHeight="1">
      <x:c r="A484" s="107"/>
      <x:c r="B484" s="107"/>
      <x:c r="C484" s="107"/>
      <x:c r="D484" s="107"/>
      <x:c r="E484" s="111"/>
      <x:c r="F484" s="109"/>
      <x:c r="G484" s="107"/>
      <x:c r="H484" s="111"/>
      <x:c r="I484" s="107"/>
      <x:c r="J484" t="str">
        <x:f>IF(COUNTA(A484:I484)=0,"",IF(OR(A484="",B484="",C484="",F484="",G484=""),"Complete entry",IF(F484&lt;=0,"Check amount",IF(G484="Cancelled","Cancelled",IF(G484="Paid",IF(H484="","Enter paid date","Paid"),IF(E484="","Enter due date",IF(E484&lt;'Data &amp; Targets'!$C$10,"Overdue",IF(E484&lt;'Data &amp; Targets'!$C$10+30,"Due next 30 days","Unpaid"))))))))</x:f>
      </x:c>
    </x:row>
    <x:row r="485" ht="22" customHeight="1">
      <x:c r="A485" s="107"/>
      <x:c r="B485" s="107"/>
      <x:c r="C485" s="107"/>
      <x:c r="D485" s="107"/>
      <x:c r="E485" s="111"/>
      <x:c r="F485" s="109"/>
      <x:c r="G485" s="107"/>
      <x:c r="H485" s="111"/>
      <x:c r="I485" s="107"/>
      <x:c r="J485" t="str">
        <x:f>IF(COUNTA(A485:I485)=0,"",IF(OR(A485="",B485="",C485="",F485="",G485=""),"Complete entry",IF(F485&lt;=0,"Check amount",IF(G485="Cancelled","Cancelled",IF(G485="Paid",IF(H485="","Enter paid date","Paid"),IF(E485="","Enter due date",IF(E485&lt;'Data &amp; Targets'!$C$10,"Overdue",IF(E485&lt;'Data &amp; Targets'!$C$10+30,"Due next 30 days","Unpaid"))))))))</x:f>
      </x:c>
    </x:row>
    <x:row r="486" ht="22" customHeight="1">
      <x:c r="A486" s="107"/>
      <x:c r="B486" s="107"/>
      <x:c r="C486" s="107"/>
      <x:c r="D486" s="107"/>
      <x:c r="E486" s="111"/>
      <x:c r="F486" s="109"/>
      <x:c r="G486" s="107"/>
      <x:c r="H486" s="111"/>
      <x:c r="I486" s="107"/>
      <x:c r="J486" t="str">
        <x:f>IF(COUNTA(A486:I486)=0,"",IF(OR(A486="",B486="",C486="",F486="",G486=""),"Complete entry",IF(F486&lt;=0,"Check amount",IF(G486="Cancelled","Cancelled",IF(G486="Paid",IF(H486="","Enter paid date","Paid"),IF(E486="","Enter due date",IF(E486&lt;'Data &amp; Targets'!$C$10,"Overdue",IF(E486&lt;'Data &amp; Targets'!$C$10+30,"Due next 30 days","Unpaid"))))))))</x:f>
      </x:c>
    </x:row>
    <x:row r="487" ht="22" customHeight="1">
      <x:c r="A487" s="107"/>
      <x:c r="B487" s="107"/>
      <x:c r="C487" s="107"/>
      <x:c r="D487" s="107"/>
      <x:c r="E487" s="111"/>
      <x:c r="F487" s="109"/>
      <x:c r="G487" s="107"/>
      <x:c r="H487" s="111"/>
      <x:c r="I487" s="107"/>
      <x:c r="J487" t="str">
        <x:f>IF(COUNTA(A487:I487)=0,"",IF(OR(A487="",B487="",C487="",F487="",G487=""),"Complete entry",IF(F487&lt;=0,"Check amount",IF(G487="Cancelled","Cancelled",IF(G487="Paid",IF(H487="","Enter paid date","Paid"),IF(E487="","Enter due date",IF(E487&lt;'Data &amp; Targets'!$C$10,"Overdue",IF(E487&lt;'Data &amp; Targets'!$C$10+30,"Due next 30 days","Unpaid"))))))))</x:f>
      </x:c>
    </x:row>
    <x:row r="488" ht="22" customHeight="1">
      <x:c r="A488" s="107"/>
      <x:c r="B488" s="107"/>
      <x:c r="C488" s="107"/>
      <x:c r="D488" s="107"/>
      <x:c r="E488" s="111"/>
      <x:c r="F488" s="109"/>
      <x:c r="G488" s="107"/>
      <x:c r="H488" s="111"/>
      <x:c r="I488" s="107"/>
      <x:c r="J488" t="str">
        <x:f>IF(COUNTA(A488:I488)=0,"",IF(OR(A488="",B488="",C488="",F488="",G488=""),"Complete entry",IF(F488&lt;=0,"Check amount",IF(G488="Cancelled","Cancelled",IF(G488="Paid",IF(H488="","Enter paid date","Paid"),IF(E488="","Enter due date",IF(E488&lt;'Data &amp; Targets'!$C$10,"Overdue",IF(E488&lt;'Data &amp; Targets'!$C$10+30,"Due next 30 days","Unpaid"))))))))</x:f>
      </x:c>
    </x:row>
    <x:row r="489" ht="22" customHeight="1">
      <x:c r="A489" s="107"/>
      <x:c r="B489" s="107"/>
      <x:c r="C489" s="107"/>
      <x:c r="D489" s="107"/>
      <x:c r="E489" s="111"/>
      <x:c r="F489" s="109"/>
      <x:c r="G489" s="107"/>
      <x:c r="H489" s="111"/>
      <x:c r="I489" s="107"/>
      <x:c r="J489" t="str">
        <x:f>IF(COUNTA(A489:I489)=0,"",IF(OR(A489="",B489="",C489="",F489="",G489=""),"Complete entry",IF(F489&lt;=0,"Check amount",IF(G489="Cancelled","Cancelled",IF(G489="Paid",IF(H489="","Enter paid date","Paid"),IF(E489="","Enter due date",IF(E489&lt;'Data &amp; Targets'!$C$10,"Overdue",IF(E489&lt;'Data &amp; Targets'!$C$10+30,"Due next 30 days","Unpaid"))))))))</x:f>
      </x:c>
    </x:row>
    <x:row r="490" ht="22" customHeight="1">
      <x:c r="A490" s="107"/>
      <x:c r="B490" s="107"/>
      <x:c r="C490" s="107"/>
      <x:c r="D490" s="107"/>
      <x:c r="E490" s="111"/>
      <x:c r="F490" s="109"/>
      <x:c r="G490" s="107"/>
      <x:c r="H490" s="111"/>
      <x:c r="I490" s="107"/>
      <x:c r="J490" t="str">
        <x:f>IF(COUNTA(A490:I490)=0,"",IF(OR(A490="",B490="",C490="",F490="",G490=""),"Complete entry",IF(F490&lt;=0,"Check amount",IF(G490="Cancelled","Cancelled",IF(G490="Paid",IF(H490="","Enter paid date","Paid"),IF(E490="","Enter due date",IF(E490&lt;'Data &amp; Targets'!$C$10,"Overdue",IF(E490&lt;'Data &amp; Targets'!$C$10+30,"Due next 30 days","Unpaid"))))))))</x:f>
      </x:c>
    </x:row>
    <x:row r="491" ht="22" customHeight="1">
      <x:c r="A491" s="107"/>
      <x:c r="B491" s="107"/>
      <x:c r="C491" s="107"/>
      <x:c r="D491" s="107"/>
      <x:c r="E491" s="111"/>
      <x:c r="F491" s="109"/>
      <x:c r="G491" s="107"/>
      <x:c r="H491" s="111"/>
      <x:c r="I491" s="107"/>
      <x:c r="J491" t="str">
        <x:f>IF(COUNTA(A491:I491)=0,"",IF(OR(A491="",B491="",C491="",F491="",G491=""),"Complete entry",IF(F491&lt;=0,"Check amount",IF(G491="Cancelled","Cancelled",IF(G491="Paid",IF(H491="","Enter paid date","Paid"),IF(E491="","Enter due date",IF(E491&lt;'Data &amp; Targets'!$C$10,"Overdue",IF(E491&lt;'Data &amp; Targets'!$C$10+30,"Due next 30 days","Unpaid"))))))))</x:f>
      </x:c>
    </x:row>
    <x:row r="492" ht="22" customHeight="1">
      <x:c r="A492" s="107"/>
      <x:c r="B492" s="107"/>
      <x:c r="C492" s="107"/>
      <x:c r="D492" s="107"/>
      <x:c r="E492" s="111"/>
      <x:c r="F492" s="109"/>
      <x:c r="G492" s="107"/>
      <x:c r="H492" s="111"/>
      <x:c r="I492" s="107"/>
      <x:c r="J492" t="str">
        <x:f>IF(COUNTA(A492:I492)=0,"",IF(OR(A492="",B492="",C492="",F492="",G492=""),"Complete entry",IF(F492&lt;=0,"Check amount",IF(G492="Cancelled","Cancelled",IF(G492="Paid",IF(H492="","Enter paid date","Paid"),IF(E492="","Enter due date",IF(E492&lt;'Data &amp; Targets'!$C$10,"Overdue",IF(E492&lt;'Data &amp; Targets'!$C$10+30,"Due next 30 days","Unpaid"))))))))</x:f>
      </x:c>
    </x:row>
    <x:row r="493" ht="22" customHeight="1">
      <x:c r="A493" s="107"/>
      <x:c r="B493" s="107"/>
      <x:c r="C493" s="107"/>
      <x:c r="D493" s="107"/>
      <x:c r="E493" s="111"/>
      <x:c r="F493" s="109"/>
      <x:c r="G493" s="107"/>
      <x:c r="H493" s="111"/>
      <x:c r="I493" s="107"/>
      <x:c r="J493" t="str">
        <x:f>IF(COUNTA(A493:I493)=0,"",IF(OR(A493="",B493="",C493="",F493="",G493=""),"Complete entry",IF(F493&lt;=0,"Check amount",IF(G493="Cancelled","Cancelled",IF(G493="Paid",IF(H493="","Enter paid date","Paid"),IF(E493="","Enter due date",IF(E493&lt;'Data &amp; Targets'!$C$10,"Overdue",IF(E493&lt;'Data &amp; Targets'!$C$10+30,"Due next 30 days","Unpaid"))))))))</x:f>
      </x:c>
    </x:row>
    <x:row r="494" ht="22" customHeight="1">
      <x:c r="A494" s="107"/>
      <x:c r="B494" s="107"/>
      <x:c r="C494" s="107"/>
      <x:c r="D494" s="107"/>
      <x:c r="E494" s="111"/>
      <x:c r="F494" s="109"/>
      <x:c r="G494" s="107"/>
      <x:c r="H494" s="111"/>
      <x:c r="I494" s="107"/>
      <x:c r="J494" t="str">
        <x:f>IF(COUNTA(A494:I494)=0,"",IF(OR(A494="",B494="",C494="",F494="",G494=""),"Complete entry",IF(F494&lt;=0,"Check amount",IF(G494="Cancelled","Cancelled",IF(G494="Paid",IF(H494="","Enter paid date","Paid"),IF(E494="","Enter due date",IF(E494&lt;'Data &amp; Targets'!$C$10,"Overdue",IF(E494&lt;'Data &amp; Targets'!$C$10+30,"Due next 30 days","Unpaid"))))))))</x:f>
      </x:c>
    </x:row>
    <x:row r="495" ht="22" customHeight="1">
      <x:c r="A495" s="107"/>
      <x:c r="B495" s="107"/>
      <x:c r="C495" s="107"/>
      <x:c r="D495" s="107"/>
      <x:c r="E495" s="111"/>
      <x:c r="F495" s="109"/>
      <x:c r="G495" s="107"/>
      <x:c r="H495" s="111"/>
      <x:c r="I495" s="107"/>
      <x:c r="J495" t="str">
        <x:f>IF(COUNTA(A495:I495)=0,"",IF(OR(A495="",B495="",C495="",F495="",G495=""),"Complete entry",IF(F495&lt;=0,"Check amount",IF(G495="Cancelled","Cancelled",IF(G495="Paid",IF(H495="","Enter paid date","Paid"),IF(E495="","Enter due date",IF(E495&lt;'Data &amp; Targets'!$C$10,"Overdue",IF(E495&lt;'Data &amp; Targets'!$C$10+30,"Due next 30 days","Unpaid"))))))))</x:f>
      </x:c>
    </x:row>
    <x:row r="496" ht="22" customHeight="1">
      <x:c r="A496" s="107"/>
      <x:c r="B496" s="107"/>
      <x:c r="C496" s="107"/>
      <x:c r="D496" s="107"/>
      <x:c r="E496" s="111"/>
      <x:c r="F496" s="109"/>
      <x:c r="G496" s="107"/>
      <x:c r="H496" s="111"/>
      <x:c r="I496" s="107"/>
      <x:c r="J496" t="str">
        <x:f>IF(COUNTA(A496:I496)=0,"",IF(OR(A496="",B496="",C496="",F496="",G496=""),"Complete entry",IF(F496&lt;=0,"Check amount",IF(G496="Cancelled","Cancelled",IF(G496="Paid",IF(H496="","Enter paid date","Paid"),IF(E496="","Enter due date",IF(E496&lt;'Data &amp; Targets'!$C$10,"Overdue",IF(E496&lt;'Data &amp; Targets'!$C$10+30,"Due next 30 days","Unpaid"))))))))</x:f>
      </x:c>
    </x:row>
    <x:row r="497" ht="22" customHeight="1">
      <x:c r="A497" s="107"/>
      <x:c r="B497" s="107"/>
      <x:c r="C497" s="107"/>
      <x:c r="D497" s="107"/>
      <x:c r="E497" s="111"/>
      <x:c r="F497" s="109"/>
      <x:c r="G497" s="107"/>
      <x:c r="H497" s="111"/>
      <x:c r="I497" s="107"/>
      <x:c r="J497" t="str">
        <x:f>IF(COUNTA(A497:I497)=0,"",IF(OR(A497="",B497="",C497="",F497="",G497=""),"Complete entry",IF(F497&lt;=0,"Check amount",IF(G497="Cancelled","Cancelled",IF(G497="Paid",IF(H497="","Enter paid date","Paid"),IF(E497="","Enter due date",IF(E497&lt;'Data &amp; Targets'!$C$10,"Overdue",IF(E497&lt;'Data &amp; Targets'!$C$10+30,"Due next 30 days","Unpaid"))))))))</x:f>
      </x:c>
    </x:row>
    <x:row r="498" ht="22" customHeight="1">
      <x:c r="A498" s="107"/>
      <x:c r="B498" s="107"/>
      <x:c r="C498" s="107"/>
      <x:c r="D498" s="107"/>
      <x:c r="E498" s="111"/>
      <x:c r="F498" s="109"/>
      <x:c r="G498" s="107"/>
      <x:c r="H498" s="111"/>
      <x:c r="I498" s="107"/>
      <x:c r="J498" t="str">
        <x:f>IF(COUNTA(A498:I498)=0,"",IF(OR(A498="",B498="",C498="",F498="",G498=""),"Complete entry",IF(F498&lt;=0,"Check amount",IF(G498="Cancelled","Cancelled",IF(G498="Paid",IF(H498="","Enter paid date","Paid"),IF(E498="","Enter due date",IF(E498&lt;'Data &amp; Targets'!$C$10,"Overdue",IF(E498&lt;'Data &amp; Targets'!$C$10+30,"Due next 30 days","Unpaid"))))))))</x:f>
      </x:c>
    </x:row>
    <x:row r="499" ht="22" customHeight="1">
      <x:c r="A499" s="107"/>
      <x:c r="B499" s="107"/>
      <x:c r="C499" s="107"/>
      <x:c r="D499" s="107"/>
      <x:c r="E499" s="111"/>
      <x:c r="F499" s="109"/>
      <x:c r="G499" s="107"/>
      <x:c r="H499" s="111"/>
      <x:c r="I499" s="107"/>
      <x:c r="J499" t="str">
        <x:f>IF(COUNTA(A499:I499)=0,"",IF(OR(A499="",B499="",C499="",F499="",G499=""),"Complete entry",IF(F499&lt;=0,"Check amount",IF(G499="Cancelled","Cancelled",IF(G499="Paid",IF(H499="","Enter paid date","Paid"),IF(E499="","Enter due date",IF(E499&lt;'Data &amp; Targets'!$C$10,"Overdue",IF(E499&lt;'Data &amp; Targets'!$C$10+30,"Due next 30 days","Unpaid"))))))))</x:f>
      </x:c>
    </x:row>
    <x:row r="500" ht="22" customHeight="1">
      <x:c r="A500" s="107"/>
      <x:c r="B500" s="107"/>
      <x:c r="C500" s="107"/>
      <x:c r="D500" s="107"/>
      <x:c r="E500" s="111"/>
      <x:c r="F500" s="109"/>
      <x:c r="G500" s="107"/>
      <x:c r="H500" s="111"/>
      <x:c r="I500" s="107"/>
      <x:c r="J500" t="str">
        <x:f>IF(COUNTA(A500:I500)=0,"",IF(OR(A500="",B500="",C500="",F500="",G500=""),"Complete entry",IF(F500&lt;=0,"Check amount",IF(G500="Cancelled","Cancelled",IF(G500="Paid",IF(H500="","Enter paid date","Paid"),IF(E500="","Enter due date",IF(E500&lt;'Data &amp; Targets'!$C$10,"Overdue",IF(E500&lt;'Data &amp; Targets'!$C$10+30,"Due next 30 days","Unpaid"))))))))</x:f>
      </x:c>
    </x:row>
    <x:row r="501" ht="22" customHeight="1">
      <x:c r="A501" s="107"/>
      <x:c r="B501" s="107"/>
      <x:c r="C501" s="107"/>
      <x:c r="D501" s="107"/>
      <x:c r="E501" s="111"/>
      <x:c r="F501" s="109"/>
      <x:c r="G501" s="107"/>
      <x:c r="H501" s="111"/>
      <x:c r="I501" s="107"/>
      <x:c r="J501" t="str">
        <x:f>IF(COUNTA(A501:I501)=0,"",IF(OR(A501="",B501="",C501="",F501="",G501=""),"Complete entry",IF(F501&lt;=0,"Check amount",IF(G501="Cancelled","Cancelled",IF(G501="Paid",IF(H501="","Enter paid date","Paid"),IF(E501="","Enter due date",IF(E501&lt;'Data &amp; Targets'!$C$10,"Overdue",IF(E501&lt;'Data &amp; Targets'!$C$10+30,"Due next 30 days","Unpaid"))))))))</x:f>
      </x:c>
    </x:row>
    <x:row r="502" ht="22" customHeight="1">
      <x:c r="A502" s="107"/>
      <x:c r="B502" s="107"/>
      <x:c r="C502" s="107"/>
      <x:c r="D502" s="107"/>
      <x:c r="E502" s="111"/>
      <x:c r="F502" s="109"/>
      <x:c r="G502" s="107"/>
      <x:c r="H502" s="111"/>
      <x:c r="I502" s="107"/>
      <x:c r="J502" t="str">
        <x:f>IF(COUNTA(A502:I502)=0,"",IF(OR(A502="",B502="",C502="",F502="",G502=""),"Complete entry",IF(F502&lt;=0,"Check amount",IF(G502="Cancelled","Cancelled",IF(G502="Paid",IF(H502="","Enter paid date","Paid"),IF(E502="","Enter due date",IF(E502&lt;'Data &amp; Targets'!$C$10,"Overdue",IF(E502&lt;'Data &amp; Targets'!$C$10+30,"Due next 30 days","Unpaid"))))))))</x:f>
      </x:c>
    </x:row>
    <x:row r="503" ht="22" customHeight="1">
      <x:c r="A503" s="107"/>
      <x:c r="B503" s="107"/>
      <x:c r="C503" s="107"/>
      <x:c r="D503" s="107"/>
      <x:c r="E503" s="111"/>
      <x:c r="F503" s="109"/>
      <x:c r="G503" s="107"/>
      <x:c r="H503" s="111"/>
      <x:c r="I503" s="107"/>
      <x:c r="J503" t="str">
        <x:f>IF(COUNTA(A503:I503)=0,"",IF(OR(A503="",B503="",C503="",F503="",G503=""),"Complete entry",IF(F503&lt;=0,"Check amount",IF(G503="Cancelled","Cancelled",IF(G503="Paid",IF(H503="","Enter paid date","Paid"),IF(E503="","Enter due date",IF(E503&lt;'Data &amp; Targets'!$C$10,"Overdue",IF(E503&lt;'Data &amp; Targets'!$C$10+30,"Due next 30 days","Unpaid"))))))))</x:f>
      </x:c>
    </x:row>
    <x:row r="504" ht="22" customHeight="1">
      <x:c r="A504" s="107"/>
      <x:c r="B504" s="107"/>
      <x:c r="C504" s="107"/>
      <x:c r="D504" s="107"/>
      <x:c r="E504" s="111"/>
      <x:c r="F504" s="109"/>
      <x:c r="G504" s="107"/>
      <x:c r="H504" s="111"/>
      <x:c r="I504" s="107"/>
      <x:c r="J504" t="str">
        <x:f>IF(COUNTA(A504:I504)=0,"",IF(OR(A504="",B504="",C504="",F504="",G504=""),"Complete entry",IF(F504&lt;=0,"Check amount",IF(G504="Cancelled","Cancelled",IF(G504="Paid",IF(H504="","Enter paid date","Paid"),IF(E504="","Enter due date",IF(E504&lt;'Data &amp; Targets'!$C$10,"Overdue",IF(E504&lt;'Data &amp; Targets'!$C$10+30,"Due next 30 days","Unpaid"))))))))</x:f>
      </x:c>
    </x:row>
    <x:row r="505" ht="22" customHeight="1">
      <x:c r="A505" s="107"/>
      <x:c r="B505" s="107"/>
      <x:c r="C505" s="107"/>
      <x:c r="D505" s="107"/>
      <x:c r="E505" s="111"/>
      <x:c r="F505" s="109"/>
      <x:c r="G505" s="107"/>
      <x:c r="H505" s="111"/>
      <x:c r="I505" s="107"/>
      <x:c r="J505" t="str">
        <x:f>IF(COUNTA(A505:I505)=0,"",IF(OR(A505="",B505="",C505="",F505="",G505=""),"Complete entry",IF(F505&lt;=0,"Check amount",IF(G505="Cancelled","Cancelled",IF(G505="Paid",IF(H505="","Enter paid date","Paid"),IF(E505="","Enter due date",IF(E505&lt;'Data &amp; Targets'!$C$10,"Overdue",IF(E505&lt;'Data &amp; Targets'!$C$10+30,"Due next 30 days","Unpaid"))))))))</x:f>
      </x:c>
    </x:row>
  </x:sheetData>
  <x:mergeCells>
    <x:mergeCell ref="A3:J3"/>
  </x:mergeCells>
  <x:conditionalFormatting sqref="J6:J505">
    <x:cfRule type="containsText" dxfId="6" priority="1" operator="containsText" text="Overdue"/>
    <x:cfRule type="containsText" dxfId="7" priority="2" operator="containsText" text="Enter"/>
    <x:cfRule type="containsText" dxfId="8" priority="3" operator="containsText" text="Complete"/>
  </x:conditionalFormatting>
  <x:dataValidations count="2">
    <x:dataValidation type="list" sqref="C6:C505">
      <x:formula1>"Payroll,Rent,Utilities,Supplies,Other"</x:formula1>
    </x:dataValidation>
    <x:dataValidation type="list" sqref="G6:G505">
      <x:formula1>"Unpaid,Paid,Cancelled"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63aa7166dc455b"/>
  </x:tableParts>
</x:worksheet>
</file>